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ser Growth" sheetId="2" state="visible" r:id="rId4"/>
    <sheet name="Revenue" sheetId="3" state="visible" r:id="rId5"/>
    <sheet name="API Costs" sheetId="4" state="visible" r:id="rId6"/>
    <sheet name="Fixed OpEx" sheetId="5" state="visible" r:id="rId7"/>
    <sheet name="P&amp;L" sheetId="6" state="visible" r:id="rId8"/>
    <sheet name="Break-Even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<sst xmlns="http://schemas.openxmlformats.org/spreadsheetml/2006/main" count="396" uniqueCount="196">
  <si>
    <t xml:space="preserve">AKBai Financial Model — Assumptions</t>
  </si>
  <si>
    <t xml:space="preserve">A — Exchange Rate</t>
  </si>
  <si>
    <t xml:space="preserve">USD to PHP Rate</t>
  </si>
  <si>
    <t xml:space="preserve">B — User Growth</t>
  </si>
  <si>
    <t xml:space="preserve">Beta users Month 1</t>
  </si>
  <si>
    <t xml:space="preserve">Beta users Month 4</t>
  </si>
  <si>
    <t xml:space="preserve">Free users Month 5 (launch)</t>
  </si>
  <si>
    <t xml:space="preserve">Pro users Month 5 (launch)</t>
  </si>
  <si>
    <t xml:space="preserve">Free % of total Y1</t>
  </si>
  <si>
    <t xml:space="preserve">Free % of total Y2</t>
  </si>
  <si>
    <t xml:space="preserve">Free % of total Y3</t>
  </si>
  <si>
    <t xml:space="preserve">Pro % of total Y1</t>
  </si>
  <si>
    <t xml:space="preserve">Pro % of total Y2</t>
  </si>
  <si>
    <t xml:space="preserve">Pro % of total Y3</t>
  </si>
  <si>
    <t xml:space="preserve">Business % of total Y1</t>
  </si>
  <si>
    <t xml:space="preserve">Business % of total Y2</t>
  </si>
  <si>
    <t xml:space="preserve">Business % of total Y3</t>
  </si>
  <si>
    <t xml:space="preserve">Monthly growth rate M5–M12 (Y1)</t>
  </si>
  <si>
    <t xml:space="preserve">Monthly growth rate M13–M24 (Y2)</t>
  </si>
  <si>
    <t xml:space="preserve">Monthly growth rate M25–M36 (Y3)</t>
  </si>
  <si>
    <t xml:space="preserve">Churn % Beta (monthly)</t>
  </si>
  <si>
    <t xml:space="preserve">Churn % Free (monthly)</t>
  </si>
  <si>
    <t xml:space="preserve">Churn % Pro (monthly)</t>
  </si>
  <si>
    <t xml:space="preserve">Churn % Business (monthly)</t>
  </si>
  <si>
    <t xml:space="preserve">C — Pricing (₱/month)</t>
  </si>
  <si>
    <t xml:space="preserve">Beta price</t>
  </si>
  <si>
    <t xml:space="preserve">Early access, limited features</t>
  </si>
  <si>
    <t xml:space="preserve">Pro price</t>
  </si>
  <si>
    <t xml:space="preserve">Unlimited Sonnet + Haiku background</t>
  </si>
  <si>
    <t xml:space="preserve">Business price</t>
  </si>
  <si>
    <t xml:space="preserve">Multi-seat + priority support</t>
  </si>
  <si>
    <t xml:space="preserve">Free price</t>
  </si>
  <si>
    <t xml:space="preserve">10 queries/day, Haiku only</t>
  </si>
  <si>
    <t xml:space="preserve">D — Claude API Costs</t>
  </si>
  <si>
    <t xml:space="preserve">Haiku input tokens/query Y1</t>
  </si>
  <si>
    <t xml:space="preserve">Haiku input tokens/query Y2</t>
  </si>
  <si>
    <t xml:space="preserve">Growing context window</t>
  </si>
  <si>
    <t xml:space="preserve">Haiku input tokens/query Y3</t>
  </si>
  <si>
    <t xml:space="preserve">Haiku output tokens/query</t>
  </si>
  <si>
    <t xml:space="preserve">Haiku input cost per 1M tokens ($)</t>
  </si>
  <si>
    <t xml:space="preserve">Haiku output cost per 1M tokens ($)</t>
  </si>
  <si>
    <t xml:space="preserve">Free user avg queries/month</t>
  </si>
  <si>
    <t xml:space="preserve">Cap: 10/day = 300/mo max; avg active = 100</t>
  </si>
  <si>
    <t xml:space="preserve">Sonnet input tokens/query Y1</t>
  </si>
  <si>
    <t xml:space="preserve">Sonnet input tokens/query Y2</t>
  </si>
  <si>
    <t xml:space="preserve">Sonnet input tokens/query Y3</t>
  </si>
  <si>
    <t xml:space="preserve">Sonnet output tokens/query</t>
  </si>
  <si>
    <t xml:space="preserve">Sonnet input cost per 1M tokens ($)</t>
  </si>
  <si>
    <t xml:space="preserve">Sonnet output cost per 1M tokens ($)</t>
  </si>
  <si>
    <t xml:space="preserve">Pro user avg queries/month</t>
  </si>
  <si>
    <t xml:space="preserve">Haiku background % of Pro queries</t>
  </si>
  <si>
    <t xml:space="preserve">Background tasks use cheaper Haiku</t>
  </si>
  <si>
    <t xml:space="preserve">Prompt caching % of input tokens Y1</t>
  </si>
  <si>
    <t xml:space="preserve">Not yet implemented</t>
  </si>
  <si>
    <t xml:space="preserve">Prompt caching % of input tokens Y2</t>
  </si>
  <si>
    <t xml:space="preserve">40% cached → 90% cheaper</t>
  </si>
  <si>
    <t xml:space="preserve">Prompt caching % of input tokens Y3</t>
  </si>
  <si>
    <t xml:space="preserve">Token usage multiplier Y1</t>
  </si>
  <si>
    <t xml:space="preserve">Base year</t>
  </si>
  <si>
    <t xml:space="preserve">Token usage multiplier Y2</t>
  </si>
  <si>
    <t xml:space="preserve">Users query more as trust builds</t>
  </si>
  <si>
    <t xml:space="preserve">Token usage multiplier Y3</t>
  </si>
  <si>
    <t xml:space="preserve">Receipt scan cost/scan ($, Haiku Vision)</t>
  </si>
  <si>
    <t xml:space="preserve">vs $0.00294 Google Cloud Vision</t>
  </si>
  <si>
    <t xml:space="preserve">Avg receipt scans per Pro user/month</t>
  </si>
  <si>
    <t xml:space="preserve">Avg receipt scans per Business user/month</t>
  </si>
  <si>
    <t xml:space="preserve">E — Payment Processing (Xendit)</t>
  </si>
  <si>
    <t xml:space="preserve">GCash/Maya fee rate</t>
  </si>
  <si>
    <t xml:space="preserve">vs PayMongo 3.5%</t>
  </si>
  <si>
    <t xml:space="preserve">Card fee rate</t>
  </si>
  <si>
    <t xml:space="preserve">GCash/Maya % of transactions</t>
  </si>
  <si>
    <t xml:space="preserve">Filipino-first payment mix</t>
  </si>
  <si>
    <t xml:space="preserve">Card % of transactions</t>
  </si>
  <si>
    <t xml:space="preserve">Effective blended Xendit rate</t>
  </si>
  <si>
    <t xml:space="preserve">F — Fixed OpEx (monthly ₱)</t>
  </si>
  <si>
    <t xml:space="preserve">Hosting Vercel M1–M6 (free)</t>
  </si>
  <si>
    <t xml:space="preserve">Hosting Cloudflare M7+ ($5/mo)</t>
  </si>
  <si>
    <t xml:space="preserve">Supabase free tier M1–M9</t>
  </si>
  <si>
    <t xml:space="preserve">Supabase Pro M10+ ($25/mo)</t>
  </si>
  <si>
    <t xml:space="preserve">WhatsApp Business API M1–M6</t>
  </si>
  <si>
    <t xml:space="preserve">WhatsApp Business API M7+</t>
  </si>
  <si>
    <t xml:space="preserve">Monitoring/Analytics (PostHog free)</t>
  </si>
  <si>
    <t xml:space="preserve">Free tier Y1–Y3</t>
  </si>
  <si>
    <t xml:space="preserve">Email (Resend free tier)</t>
  </si>
  <si>
    <t xml:space="preserve">Domain &amp; SSL</t>
  </si>
  <si>
    <t xml:space="preserve">Miscellaneous / contingency</t>
  </si>
  <si>
    <t xml:space="preserve">G — UAT Pre-Launch Costs (one-time ₱)</t>
  </si>
  <si>
    <t xml:space="preserve">Claude Haiku API for UAT (15 testers × 4 wks)</t>
  </si>
  <si>
    <t xml:space="preserve">UAT infra (Supabase free + Cloudflare free)</t>
  </si>
  <si>
    <t xml:space="preserve">Total UAT cost</t>
  </si>
  <si>
    <t xml:space="preserve">H — One-Time CapEx (₱)</t>
  </si>
  <si>
    <t xml:space="preserve">UAT cost (from above)</t>
  </si>
  <si>
    <t xml:space="preserve">Logo &amp; branding</t>
  </si>
  <si>
    <t xml:space="preserve">Legal/registration</t>
  </si>
  <si>
    <t xml:space="preserve">Initial marketing materials</t>
  </si>
  <si>
    <t xml:space="preserve">CapEx contingency</t>
  </si>
  <si>
    <t xml:space="preserve">Total CapEx</t>
  </si>
  <si>
    <t xml:space="preserve">I — Derived Unit Economics (formulas)</t>
  </si>
  <si>
    <t xml:space="preserve">Metric</t>
  </si>
  <si>
    <t xml:space="preserve">Y1</t>
  </si>
  <si>
    <t xml:space="preserve">Y2</t>
  </si>
  <si>
    <t xml:space="preserve">Y3</t>
  </si>
  <si>
    <t xml:space="preserve">Free API cost/user/month (₱)</t>
  </si>
  <si>
    <t xml:space="preserve">Pro API cost/user/month (₱)</t>
  </si>
  <si>
    <t xml:space="preserve">Pro gross margin/user (₱, Y1)</t>
  </si>
  <si>
    <t xml:space="preserve">Pro gross margin % (Y1)</t>
  </si>
  <si>
    <t xml:space="preserve">Month</t>
  </si>
  <si>
    <t xml:space="preserve">Year</t>
  </si>
  <si>
    <t xml:space="preserve">Beta</t>
  </si>
  <si>
    <t xml:space="preserve">Free</t>
  </si>
  <si>
    <t xml:space="preserve">Pro</t>
  </si>
  <si>
    <t xml:space="preserve">Business</t>
  </si>
  <si>
    <t xml:space="preserve">Total</t>
  </si>
  <si>
    <t xml:space="preserve">New Free</t>
  </si>
  <si>
    <t xml:space="preserve">Churned</t>
  </si>
  <si>
    <t xml:space="preserve">Notes</t>
  </si>
  <si>
    <t xml:space="preserve">Beta Rev</t>
  </si>
  <si>
    <t xml:space="preserve">Pro Rev</t>
  </si>
  <si>
    <t xml:space="preserve">Biz Rev</t>
  </si>
  <si>
    <t xml:space="preserve">Gross Rev</t>
  </si>
  <si>
    <t xml:space="preserve">Xendit Fee</t>
  </si>
  <si>
    <t xml:space="preserve">Net Rev</t>
  </si>
  <si>
    <t xml:space="preserve">Cumul Net Rev</t>
  </si>
  <si>
    <t xml:space="preserve">Free Users</t>
  </si>
  <si>
    <t xml:space="preserve">Pro Users</t>
  </si>
  <si>
    <t xml:space="preserve">Biz Users</t>
  </si>
  <si>
    <t xml:space="preserve">Yr Mult</t>
  </si>
  <si>
    <t xml:space="preserve">Cache%</t>
  </si>
  <si>
    <t xml:space="preserve">Free Cost/User</t>
  </si>
  <si>
    <t xml:space="preserve">Pro Cost/User</t>
  </si>
  <si>
    <t xml:space="preserve">Biz Cost/User</t>
  </si>
  <si>
    <t xml:space="preserve">Total Free API</t>
  </si>
  <si>
    <t xml:space="preserve">Total Pro API</t>
  </si>
  <si>
    <t xml:space="preserve">Total Biz API</t>
  </si>
  <si>
    <t xml:space="preserve">TOTAL API COST</t>
  </si>
  <si>
    <t xml:space="preserve">Hosting</t>
  </si>
  <si>
    <t xml:space="preserve">Database</t>
  </si>
  <si>
    <t xml:space="preserve">WhatsApp</t>
  </si>
  <si>
    <t xml:space="preserve">Monitoring</t>
  </si>
  <si>
    <t xml:space="preserve">Email</t>
  </si>
  <si>
    <t xml:space="preserve">Domain/SSL</t>
  </si>
  <si>
    <t xml:space="preserve">Misc</t>
  </si>
  <si>
    <t xml:space="preserve">TOTAL OpEx</t>
  </si>
  <si>
    <t xml:space="preserve">AKBai — Profit &amp; Loss Summary</t>
  </si>
  <si>
    <t xml:space="preserve">Y1 (2026)</t>
  </si>
  <si>
    <t xml:space="preserve">Y2 (2027)</t>
  </si>
  <si>
    <t xml:space="preserve">Y3 (2028)</t>
  </si>
  <si>
    <t xml:space="preserve">REVENUE</t>
  </si>
  <si>
    <t xml:space="preserve">Beta Revenue</t>
  </si>
  <si>
    <t xml:space="preserve">Pro Revenue</t>
  </si>
  <si>
    <t xml:space="preserve">Business Revenue</t>
  </si>
  <si>
    <t xml:space="preserve">Gross Revenue</t>
  </si>
  <si>
    <t xml:space="preserve">Less: Xendit Fees</t>
  </si>
  <si>
    <t xml:space="preserve">NET REVENUE</t>
  </si>
  <si>
    <t xml:space="preserve">VARIABLE COSTS (API)</t>
  </si>
  <si>
    <t xml:space="preserve">API Costs — Free tier</t>
  </si>
  <si>
    <t xml:space="preserve">API Costs — Pro tier</t>
  </si>
  <si>
    <t xml:space="preserve">API Costs — Business tier</t>
  </si>
  <si>
    <t xml:space="preserve">TOTAL VARIABLE COSTS</t>
  </si>
  <si>
    <t xml:space="preserve">GROSS PROFIT</t>
  </si>
  <si>
    <t xml:space="preserve">Gross Margin %</t>
  </si>
  <si>
    <t xml:space="preserve">FIXED OPERATING EXPENSES</t>
  </si>
  <si>
    <t xml:space="preserve">Total Fixed OpEx</t>
  </si>
  <si>
    <t xml:space="preserve">EBITDA</t>
  </si>
  <si>
    <t xml:space="preserve">EBITDA Margin %</t>
  </si>
  <si>
    <t xml:space="preserve">ONE-TIME COSTS</t>
  </si>
  <si>
    <t xml:space="preserve">CapEx (one-time, Y1 only)</t>
  </si>
  <si>
    <t xml:space="preserve">UAT Cost (pre-launch, Y1 only)</t>
  </si>
  <si>
    <t xml:space="preserve">NET PROFIT / (LOSS)</t>
  </si>
  <si>
    <t xml:space="preserve">Net Margin %</t>
  </si>
  <si>
    <t xml:space="preserve">Net Revenue</t>
  </si>
  <si>
    <t xml:space="preserve">API Costs</t>
  </si>
  <si>
    <t xml:space="preserve">Fixed OpEx</t>
  </si>
  <si>
    <t xml:space="preserve">Total Costs</t>
  </si>
  <si>
    <t xml:space="preserve">Monthly Profit</t>
  </si>
  <si>
    <t xml:space="preserve">Cumulative Profit</t>
  </si>
  <si>
    <t xml:space="preserve">Break-Even?</t>
  </si>
  <si>
    <t xml:space="preserve">Break-Even Analysis</t>
  </si>
  <si>
    <t xml:space="preserve">Break-Even Month:</t>
  </si>
  <si>
    <t xml:space="preserve">First profitable month:</t>
  </si>
  <si>
    <t xml:space="preserve">AKBai — Financial Dashboard</t>
  </si>
  <si>
    <t xml:space="preserve">Note: AKBai uses the Claude API (pay-per-token). No weekly message limits apply. Free tier 10q/day cap is AKBai's own cost control.</t>
  </si>
  <si>
    <t xml:space="preserve">👥 Total Active Users (End of Year)</t>
  </si>
  <si>
    <t xml:space="preserve">End-Year MAU</t>
  </si>
  <si>
    <t xml:space="preserve">  — Pro Users</t>
  </si>
  <si>
    <t xml:space="preserve">₱ Revenue</t>
  </si>
  <si>
    <t xml:space="preserve">💸 Total API Costs</t>
  </si>
  <si>
    <t xml:space="preserve">📈 Gross Profit &amp; Net Profit</t>
  </si>
  <si>
    <t xml:space="preserve">Gross Profit</t>
  </si>
  <si>
    <t xml:space="preserve">🎯 Break-Even</t>
  </si>
  <si>
    <t xml:space="preserve">Break-Even Month #</t>
  </si>
  <si>
    <t xml:space="preserve">🔬 Unit Economics (Y1)</t>
  </si>
  <si>
    <t xml:space="preserve">Free user API cost/month</t>
  </si>
  <si>
    <t xml:space="preserve">Pro user API cost/month</t>
  </si>
  <si>
    <t xml:space="preserve">Pro gross margin/user</t>
  </si>
  <si>
    <t xml:space="preserve">Pro gross margin 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</si>
</sst>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\₱#,##0;&quot;(₱&quot;#,##0\);\-"/>
    <numFmt numFmtId="168" formatCode="#,##0"/>
    <numFmt numFmtId="169" formatCode="\$#,##0.00"/>
    <numFmt numFmtId="170" formatCode="0.00\x"/>
    <numFmt numFmtId="171" formatCode="\$0.0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E1F2"/>
      </patternFill>
    </fill>
    <fill>
      <patternFill patternType="solid">
        <fgColor rgb="FFEBF3FB"/>
        <bgColor rgb="FFFFFFFF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 t="n">
        <v>57.2</v>
      </c>
    </row>
    <row r="6" customFormat="false" ht="15" hidden="false" customHeight="false" outlineLevel="0" collapsed="false">
      <c r="A6" s="2" t="s">
        <v>3</v>
      </c>
      <c r="B6" s="2"/>
    </row>
    <row r="7" customFormat="false" ht="15" hidden="false" customHeight="false" outlineLevel="0" collapsed="false">
      <c r="A7" s="3" t="s">
        <v>4</v>
      </c>
      <c r="B7" s="5" t="n">
        <v>20</v>
      </c>
    </row>
    <row r="8" customFormat="false" ht="15" hidden="false" customHeight="false" outlineLevel="0" collapsed="false">
      <c r="A8" s="3" t="s">
        <v>5</v>
      </c>
      <c r="B8" s="5" t="n">
        <v>80</v>
      </c>
    </row>
    <row r="9" customFormat="false" ht="15" hidden="false" customHeight="false" outlineLevel="0" collapsed="false">
      <c r="A9" s="3" t="s">
        <v>6</v>
      </c>
      <c r="B9" s="5" t="n">
        <v>90</v>
      </c>
    </row>
    <row r="10" customFormat="false" ht="15" hidden="false" customHeight="false" outlineLevel="0" collapsed="false">
      <c r="A10" s="3" t="s">
        <v>7</v>
      </c>
      <c r="B10" s="5" t="n">
        <v>60</v>
      </c>
    </row>
    <row r="11" customFormat="false" ht="15" hidden="false" customHeight="false" outlineLevel="0" collapsed="false">
      <c r="A11" s="3" t="s">
        <v>8</v>
      </c>
      <c r="B11" s="6" t="n">
        <v>0.6</v>
      </c>
    </row>
    <row r="12" customFormat="false" ht="15" hidden="false" customHeight="false" outlineLevel="0" collapsed="false">
      <c r="A12" s="3" t="s">
        <v>9</v>
      </c>
      <c r="B12" s="6" t="n">
        <v>0.55</v>
      </c>
    </row>
    <row r="13" customFormat="false" ht="15" hidden="false" customHeight="false" outlineLevel="0" collapsed="false">
      <c r="A13" s="3" t="s">
        <v>10</v>
      </c>
      <c r="B13" s="6" t="n">
        <v>0.55</v>
      </c>
    </row>
    <row r="14" customFormat="false" ht="15" hidden="false" customHeight="false" outlineLevel="0" collapsed="false">
      <c r="A14" s="3" t="s">
        <v>11</v>
      </c>
      <c r="B14" s="6" t="n">
        <v>0.4</v>
      </c>
    </row>
    <row r="15" customFormat="false" ht="15" hidden="false" customHeight="false" outlineLevel="0" collapsed="false">
      <c r="A15" s="3" t="s">
        <v>12</v>
      </c>
      <c r="B15" s="6" t="n">
        <v>0.38</v>
      </c>
    </row>
    <row r="16" customFormat="false" ht="15" hidden="false" customHeight="false" outlineLevel="0" collapsed="false">
      <c r="A16" s="3" t="s">
        <v>13</v>
      </c>
      <c r="B16" s="6" t="n">
        <v>0.38</v>
      </c>
    </row>
    <row r="17" customFormat="false" ht="15" hidden="false" customHeight="false" outlineLevel="0" collapsed="false">
      <c r="A17" s="3" t="s">
        <v>14</v>
      </c>
      <c r="B17" s="6" t="n">
        <v>0</v>
      </c>
    </row>
    <row r="18" customFormat="false" ht="15" hidden="false" customHeight="false" outlineLevel="0" collapsed="false">
      <c r="A18" s="3" t="s">
        <v>15</v>
      </c>
      <c r="B18" s="6" t="n">
        <v>0.07</v>
      </c>
    </row>
    <row r="19" customFormat="false" ht="15" hidden="false" customHeight="false" outlineLevel="0" collapsed="false">
      <c r="A19" s="3" t="s">
        <v>16</v>
      </c>
      <c r="B19" s="6" t="n">
        <v>0.07</v>
      </c>
    </row>
    <row r="20" customFormat="false" ht="15" hidden="false" customHeight="false" outlineLevel="0" collapsed="false">
      <c r="A20" s="3" t="s">
        <v>17</v>
      </c>
      <c r="B20" s="6" t="n">
        <v>0.15</v>
      </c>
    </row>
    <row r="21" customFormat="false" ht="15" hidden="false" customHeight="false" outlineLevel="0" collapsed="false">
      <c r="A21" s="3" t="s">
        <v>18</v>
      </c>
      <c r="B21" s="6" t="n">
        <v>0.1</v>
      </c>
    </row>
    <row r="22" customFormat="false" ht="15" hidden="false" customHeight="false" outlineLevel="0" collapsed="false">
      <c r="A22" s="3" t="s">
        <v>19</v>
      </c>
      <c r="B22" s="6" t="n">
        <v>0.08</v>
      </c>
    </row>
    <row r="23" customFormat="false" ht="15" hidden="false" customHeight="false" outlineLevel="0" collapsed="false">
      <c r="A23" s="3" t="s">
        <v>20</v>
      </c>
      <c r="B23" s="6" t="n">
        <v>0.03</v>
      </c>
    </row>
    <row r="24" customFormat="false" ht="15" hidden="false" customHeight="false" outlineLevel="0" collapsed="false">
      <c r="A24" s="3" t="s">
        <v>21</v>
      </c>
      <c r="B24" s="6" t="n">
        <v>0.08</v>
      </c>
    </row>
    <row r="25" customFormat="false" ht="15" hidden="false" customHeight="false" outlineLevel="0" collapsed="false">
      <c r="A25" s="3" t="s">
        <v>22</v>
      </c>
      <c r="B25" s="6" t="n">
        <v>0.04</v>
      </c>
    </row>
    <row r="26" customFormat="false" ht="15" hidden="false" customHeight="false" outlineLevel="0" collapsed="false">
      <c r="A26" s="3" t="s">
        <v>23</v>
      </c>
      <c r="B26" s="6" t="n">
        <v>0.03</v>
      </c>
    </row>
    <row r="28" customFormat="false" ht="15" hidden="false" customHeight="false" outlineLevel="0" collapsed="false">
      <c r="A28" s="2" t="s">
        <v>24</v>
      </c>
      <c r="B28" s="2"/>
    </row>
    <row r="29" customFormat="false" ht="15" hidden="false" customHeight="false" outlineLevel="0" collapsed="false">
      <c r="A29" s="3" t="s">
        <v>25</v>
      </c>
      <c r="B29" s="7" t="n">
        <v>149</v>
      </c>
      <c r="C29" s="8" t="s">
        <v>26</v>
      </c>
    </row>
    <row r="30" customFormat="false" ht="15" hidden="false" customHeight="false" outlineLevel="0" collapsed="false">
      <c r="A30" s="3" t="s">
        <v>27</v>
      </c>
      <c r="B30" s="7" t="n">
        <v>299</v>
      </c>
      <c r="C30" s="8" t="s">
        <v>28</v>
      </c>
    </row>
    <row r="31" customFormat="false" ht="15" hidden="false" customHeight="false" outlineLevel="0" collapsed="false">
      <c r="A31" s="3" t="s">
        <v>29</v>
      </c>
      <c r="B31" s="7" t="n">
        <v>799</v>
      </c>
      <c r="C31" s="8" t="s">
        <v>30</v>
      </c>
    </row>
    <row r="32" customFormat="false" ht="15" hidden="false" customHeight="false" outlineLevel="0" collapsed="false">
      <c r="A32" s="3" t="s">
        <v>31</v>
      </c>
      <c r="B32" s="7" t="n">
        <v>0</v>
      </c>
      <c r="C32" s="8" t="s">
        <v>32</v>
      </c>
    </row>
    <row r="34" customFormat="false" ht="15" hidden="false" customHeight="false" outlineLevel="0" collapsed="false">
      <c r="A34" s="2" t="s">
        <v>33</v>
      </c>
      <c r="B34" s="2"/>
    </row>
    <row r="35" customFormat="false" ht="15" hidden="false" customHeight="false" outlineLevel="0" collapsed="false">
      <c r="A35" s="3" t="s">
        <v>34</v>
      </c>
      <c r="B35" s="9" t="n">
        <v>2000</v>
      </c>
    </row>
    <row r="36" customFormat="false" ht="15" hidden="false" customHeight="false" outlineLevel="0" collapsed="false">
      <c r="A36" s="3" t="s">
        <v>35</v>
      </c>
      <c r="B36" s="9" t="n">
        <v>2600</v>
      </c>
      <c r="C36" s="8" t="s">
        <v>36</v>
      </c>
    </row>
    <row r="37" customFormat="false" ht="15" hidden="false" customHeight="false" outlineLevel="0" collapsed="false">
      <c r="A37" s="3" t="s">
        <v>37</v>
      </c>
      <c r="B37" s="9" t="n">
        <v>3200</v>
      </c>
    </row>
    <row r="38" customFormat="false" ht="15" hidden="false" customHeight="false" outlineLevel="0" collapsed="false">
      <c r="A38" s="3" t="s">
        <v>38</v>
      </c>
      <c r="B38" s="9" t="n">
        <v>500</v>
      </c>
    </row>
    <row r="39" customFormat="false" ht="15" hidden="false" customHeight="false" outlineLevel="0" collapsed="false">
      <c r="A39" s="3" t="s">
        <v>39</v>
      </c>
      <c r="B39" s="10" t="n">
        <v>0.8</v>
      </c>
    </row>
    <row r="40" customFormat="false" ht="15" hidden="false" customHeight="false" outlineLevel="0" collapsed="false">
      <c r="A40" s="3" t="s">
        <v>40</v>
      </c>
      <c r="B40" s="10" t="n">
        <v>4</v>
      </c>
    </row>
    <row r="41" customFormat="false" ht="15" hidden="false" customHeight="false" outlineLevel="0" collapsed="false">
      <c r="A41" s="3" t="s">
        <v>41</v>
      </c>
      <c r="B41" s="9" t="n">
        <v>100</v>
      </c>
      <c r="C41" s="8" t="s">
        <v>42</v>
      </c>
    </row>
    <row r="42" customFormat="false" ht="15" hidden="false" customHeight="false" outlineLevel="0" collapsed="false">
      <c r="A42" s="3" t="s">
        <v>43</v>
      </c>
      <c r="B42" s="9" t="n">
        <v>2000</v>
      </c>
    </row>
    <row r="43" customFormat="false" ht="15" hidden="false" customHeight="false" outlineLevel="0" collapsed="false">
      <c r="A43" s="3" t="s">
        <v>44</v>
      </c>
      <c r="B43" s="9" t="n">
        <v>2600</v>
      </c>
    </row>
    <row r="44" customFormat="false" ht="15" hidden="false" customHeight="false" outlineLevel="0" collapsed="false">
      <c r="A44" s="3" t="s">
        <v>45</v>
      </c>
      <c r="B44" s="9" t="n">
        <v>3200</v>
      </c>
    </row>
    <row r="45" customFormat="false" ht="15" hidden="false" customHeight="false" outlineLevel="0" collapsed="false">
      <c r="A45" s="3" t="s">
        <v>46</v>
      </c>
      <c r="B45" s="9" t="n">
        <v>800</v>
      </c>
    </row>
    <row r="46" customFormat="false" ht="15" hidden="false" customHeight="false" outlineLevel="0" collapsed="false">
      <c r="A46" s="3" t="s">
        <v>47</v>
      </c>
      <c r="B46" s="10" t="n">
        <v>3</v>
      </c>
    </row>
    <row r="47" customFormat="false" ht="15" hidden="false" customHeight="false" outlineLevel="0" collapsed="false">
      <c r="A47" s="3" t="s">
        <v>48</v>
      </c>
      <c r="B47" s="10" t="n">
        <v>15</v>
      </c>
    </row>
    <row r="48" customFormat="false" ht="15" hidden="false" customHeight="false" outlineLevel="0" collapsed="false">
      <c r="A48" s="3" t="s">
        <v>49</v>
      </c>
      <c r="B48" s="9" t="n">
        <v>200</v>
      </c>
    </row>
    <row r="49" customFormat="false" ht="15" hidden="false" customHeight="false" outlineLevel="0" collapsed="false">
      <c r="A49" s="3" t="s">
        <v>50</v>
      </c>
      <c r="B49" s="6" t="n">
        <v>0.3</v>
      </c>
      <c r="C49" s="8" t="s">
        <v>51</v>
      </c>
    </row>
    <row r="50" customFormat="false" ht="15" hidden="false" customHeight="false" outlineLevel="0" collapsed="false">
      <c r="A50" s="3" t="s">
        <v>52</v>
      </c>
      <c r="B50" s="6" t="n">
        <v>0</v>
      </c>
      <c r="C50" s="8" t="s">
        <v>53</v>
      </c>
    </row>
    <row r="51" customFormat="false" ht="15" hidden="false" customHeight="false" outlineLevel="0" collapsed="false">
      <c r="A51" s="3" t="s">
        <v>54</v>
      </c>
      <c r="B51" s="6" t="n">
        <v>0.4</v>
      </c>
      <c r="C51" s="8" t="s">
        <v>55</v>
      </c>
    </row>
    <row r="52" customFormat="false" ht="15" hidden="false" customHeight="false" outlineLevel="0" collapsed="false">
      <c r="A52" s="3" t="s">
        <v>56</v>
      </c>
      <c r="B52" s="6" t="n">
        <v>0.6</v>
      </c>
    </row>
    <row r="53" customFormat="false" ht="15" hidden="false" customHeight="false" outlineLevel="0" collapsed="false">
      <c r="A53" s="3" t="s">
        <v>57</v>
      </c>
      <c r="B53" s="11" t="n">
        <v>1</v>
      </c>
      <c r="C53" s="8" t="s">
        <v>58</v>
      </c>
    </row>
    <row r="54" customFormat="false" ht="15" hidden="false" customHeight="false" outlineLevel="0" collapsed="false">
      <c r="A54" s="3" t="s">
        <v>59</v>
      </c>
      <c r="B54" s="11" t="n">
        <v>1.35</v>
      </c>
      <c r="C54" s="8" t="s">
        <v>60</v>
      </c>
    </row>
    <row r="55" customFormat="false" ht="15" hidden="false" customHeight="false" outlineLevel="0" collapsed="false">
      <c r="A55" s="3" t="s">
        <v>61</v>
      </c>
      <c r="B55" s="11" t="n">
        <v>1.65</v>
      </c>
    </row>
    <row r="56" customFormat="false" ht="15" hidden="false" customHeight="false" outlineLevel="0" collapsed="false">
      <c r="A56" s="3" t="s">
        <v>62</v>
      </c>
      <c r="B56" s="12" t="n">
        <v>0.0028</v>
      </c>
      <c r="C56" s="8" t="s">
        <v>63</v>
      </c>
    </row>
    <row r="57" customFormat="false" ht="15" hidden="false" customHeight="false" outlineLevel="0" collapsed="false">
      <c r="A57" s="3" t="s">
        <v>64</v>
      </c>
      <c r="B57" s="9" t="n">
        <v>15</v>
      </c>
    </row>
    <row r="58" customFormat="false" ht="15" hidden="false" customHeight="false" outlineLevel="0" collapsed="false">
      <c r="A58" s="3" t="s">
        <v>65</v>
      </c>
      <c r="B58" s="9" t="n">
        <v>30</v>
      </c>
    </row>
    <row r="60" customFormat="false" ht="15" hidden="false" customHeight="false" outlineLevel="0" collapsed="false">
      <c r="A60" s="2" t="s">
        <v>66</v>
      </c>
      <c r="B60" s="2"/>
    </row>
    <row r="61" customFormat="false" ht="15" hidden="false" customHeight="false" outlineLevel="0" collapsed="false">
      <c r="A61" s="3" t="s">
        <v>67</v>
      </c>
      <c r="B61" s="6" t="n">
        <v>0.015</v>
      </c>
      <c r="C61" s="8" t="s">
        <v>68</v>
      </c>
    </row>
    <row r="62" customFormat="false" ht="15" hidden="false" customHeight="false" outlineLevel="0" collapsed="false">
      <c r="A62" s="3" t="s">
        <v>69</v>
      </c>
      <c r="B62" s="6" t="n">
        <v>0.035</v>
      </c>
    </row>
    <row r="63" customFormat="false" ht="15" hidden="false" customHeight="false" outlineLevel="0" collapsed="false">
      <c r="A63" s="3" t="s">
        <v>70</v>
      </c>
      <c r="B63" s="6" t="n">
        <v>0.8</v>
      </c>
      <c r="C63" s="8" t="s">
        <v>71</v>
      </c>
    </row>
    <row r="64" customFormat="false" ht="15" hidden="false" customHeight="false" outlineLevel="0" collapsed="false">
      <c r="A64" s="3" t="s">
        <v>72</v>
      </c>
      <c r="B64" s="6" t="n">
        <v>0.2</v>
      </c>
    </row>
    <row r="65" customFormat="false" ht="15" hidden="false" customHeight="false" outlineLevel="0" collapsed="false">
      <c r="A65" s="3" t="s">
        <v>73</v>
      </c>
      <c r="B65" s="13" t="n">
        <f aca="false">Assumptions!$B$63*Assumptions!$B$61+Assumptions!$B$64*Assumptions!$B$62</f>
        <v>0.019</v>
      </c>
    </row>
    <row r="67" customFormat="false" ht="15" hidden="false" customHeight="false" outlineLevel="0" collapsed="false">
      <c r="A67" s="2" t="s">
        <v>74</v>
      </c>
      <c r="B67" s="2"/>
    </row>
    <row r="68" customFormat="false" ht="15" hidden="false" customHeight="false" outlineLevel="0" collapsed="false">
      <c r="A68" s="3" t="s">
        <v>75</v>
      </c>
      <c r="B68" s="7" t="n">
        <v>0</v>
      </c>
    </row>
    <row r="69" customFormat="false" ht="15" hidden="false" customHeight="false" outlineLevel="0" collapsed="false">
      <c r="A69" s="3" t="s">
        <v>76</v>
      </c>
      <c r="B69" s="7" t="n">
        <v>286</v>
      </c>
    </row>
    <row r="70" customFormat="false" ht="15" hidden="false" customHeight="false" outlineLevel="0" collapsed="false">
      <c r="A70" s="3" t="s">
        <v>77</v>
      </c>
      <c r="B70" s="7" t="n">
        <v>0</v>
      </c>
    </row>
    <row r="71" customFormat="false" ht="15" hidden="false" customHeight="false" outlineLevel="0" collapsed="false">
      <c r="A71" s="3" t="s">
        <v>78</v>
      </c>
      <c r="B71" s="7" t="n">
        <v>1430</v>
      </c>
    </row>
    <row r="72" customFormat="false" ht="15" hidden="false" customHeight="false" outlineLevel="0" collapsed="false">
      <c r="A72" s="3" t="s">
        <v>79</v>
      </c>
      <c r="B72" s="7" t="n">
        <v>0</v>
      </c>
    </row>
    <row r="73" customFormat="false" ht="15" hidden="false" customHeight="false" outlineLevel="0" collapsed="false">
      <c r="A73" s="3" t="s">
        <v>80</v>
      </c>
      <c r="B73" s="7" t="n">
        <v>572</v>
      </c>
    </row>
    <row r="74" customFormat="false" ht="15" hidden="false" customHeight="false" outlineLevel="0" collapsed="false">
      <c r="A74" s="3" t="s">
        <v>81</v>
      </c>
      <c r="B74" s="7" t="n">
        <v>0</v>
      </c>
      <c r="C74" s="8" t="s">
        <v>82</v>
      </c>
    </row>
    <row r="75" customFormat="false" ht="15" hidden="false" customHeight="false" outlineLevel="0" collapsed="false">
      <c r="A75" s="3" t="s">
        <v>83</v>
      </c>
      <c r="B75" s="7" t="n">
        <v>0</v>
      </c>
      <c r="C75" s="8" t="s">
        <v>82</v>
      </c>
    </row>
    <row r="76" customFormat="false" ht="15" hidden="false" customHeight="false" outlineLevel="0" collapsed="false">
      <c r="A76" s="3" t="s">
        <v>84</v>
      </c>
      <c r="B76" s="7" t="n">
        <v>500</v>
      </c>
    </row>
    <row r="77" customFormat="false" ht="15" hidden="false" customHeight="false" outlineLevel="0" collapsed="false">
      <c r="A77" s="3" t="s">
        <v>85</v>
      </c>
      <c r="B77" s="7" t="n">
        <v>500</v>
      </c>
    </row>
    <row r="79" customFormat="false" ht="15" hidden="false" customHeight="false" outlineLevel="0" collapsed="false">
      <c r="A79" s="2" t="s">
        <v>86</v>
      </c>
      <c r="B79" s="2"/>
    </row>
    <row r="80" customFormat="false" ht="15" hidden="false" customHeight="false" outlineLevel="0" collapsed="false">
      <c r="A80" s="3" t="s">
        <v>87</v>
      </c>
      <c r="B80" s="7" t="n">
        <v>800</v>
      </c>
    </row>
    <row r="81" customFormat="false" ht="15" hidden="false" customHeight="false" outlineLevel="0" collapsed="false">
      <c r="A81" s="3" t="s">
        <v>88</v>
      </c>
      <c r="B81" s="7" t="n">
        <v>0</v>
      </c>
    </row>
    <row r="82" customFormat="false" ht="15" hidden="false" customHeight="false" outlineLevel="0" collapsed="false">
      <c r="A82" s="3" t="s">
        <v>89</v>
      </c>
      <c r="B82" s="14" t="n">
        <f aca="false">Assumptions!$B$80+Assumptions!$B$81</f>
        <v>800</v>
      </c>
    </row>
    <row r="84" customFormat="false" ht="15" hidden="false" customHeight="false" outlineLevel="0" collapsed="false">
      <c r="A84" s="2" t="s">
        <v>90</v>
      </c>
      <c r="B84" s="2"/>
    </row>
    <row r="85" customFormat="false" ht="15" hidden="false" customHeight="false" outlineLevel="0" collapsed="false">
      <c r="A85" s="3" t="s">
        <v>91</v>
      </c>
      <c r="B85" s="14" t="n">
        <f aca="false">Assumptions!$B$82</f>
        <v>800</v>
      </c>
    </row>
    <row r="86" customFormat="false" ht="15" hidden="false" customHeight="false" outlineLevel="0" collapsed="false">
      <c r="A86" s="3" t="s">
        <v>92</v>
      </c>
      <c r="B86" s="7" t="n">
        <v>5000</v>
      </c>
    </row>
    <row r="87" customFormat="false" ht="15" hidden="false" customHeight="false" outlineLevel="0" collapsed="false">
      <c r="A87" s="3" t="s">
        <v>93</v>
      </c>
      <c r="B87" s="7" t="n">
        <v>10000</v>
      </c>
    </row>
    <row r="88" customFormat="false" ht="15" hidden="false" customHeight="false" outlineLevel="0" collapsed="false">
      <c r="A88" s="3" t="s">
        <v>94</v>
      </c>
      <c r="B88" s="7" t="n">
        <v>8000</v>
      </c>
    </row>
    <row r="89" customFormat="false" ht="15" hidden="false" customHeight="false" outlineLevel="0" collapsed="false">
      <c r="A89" s="3" t="s">
        <v>95</v>
      </c>
      <c r="B89" s="7" t="n">
        <v>5000</v>
      </c>
    </row>
    <row r="90" customFormat="false" ht="15" hidden="false" customHeight="false" outlineLevel="0" collapsed="false">
      <c r="A90" s="15" t="s">
        <v>96</v>
      </c>
      <c r="B90" s="16" t="n">
        <f aca="false">Assumptions!$B$85+Assumptions!$B$86+Assumptions!$B$87+Assumptions!$B$88+Assumptions!$B$89</f>
        <v>28800</v>
      </c>
    </row>
    <row r="93" customFormat="false" ht="15" hidden="false" customHeight="false" outlineLevel="0" collapsed="false">
      <c r="A93" s="2" t="s">
        <v>97</v>
      </c>
      <c r="B93" s="2"/>
      <c r="C93" s="2"/>
    </row>
    <row r="94" customFormat="false" ht="15" hidden="false" customHeight="false" outlineLevel="0" collapsed="false">
      <c r="A94" s="15" t="s">
        <v>98</v>
      </c>
      <c r="B94" s="15" t="s">
        <v>99</v>
      </c>
      <c r="C94" s="15" t="s">
        <v>100</v>
      </c>
      <c r="D94" s="15" t="s">
        <v>101</v>
      </c>
    </row>
    <row r="95" customFormat="false" ht="15" hidden="false" customHeight="false" outlineLevel="0" collapsed="false">
      <c r="A95" s="3" t="s">
        <v>102</v>
      </c>
      <c r="B95" s="14" t="n">
        <f aca="false">(Assumptions!$B$35/1000000*Assumptions!$B$39+Assumptions!$B$38/1000000*Assumptions!$B$40)*Assumptions!$B$53*Assumptions!$B$41*Assumptions!$B$4</f>
        <v>20.592</v>
      </c>
      <c r="C95" s="14" t="n">
        <f aca="false">(Assumptions!$B$36/1000000*Assumptions!$B$39+Assumptions!$B$38/1000000*Assumptions!$B$40)*Assumptions!$B$54*Assumptions!$B$41*Assumptions!$B$4</f>
        <v>31.50576</v>
      </c>
      <c r="D95" s="14" t="n">
        <f aca="false">(Assumptions!$B$37/1000000*Assumptions!$B$39+Assumptions!$B$38/1000000*Assumptions!$B$40)*Assumptions!$B$55*Assumptions!$B$41*Assumptions!$B$4</f>
        <v>43.03728</v>
      </c>
    </row>
    <row r="96" customFormat="false" ht="15" hidden="false" customHeight="false" outlineLevel="0" collapsed="false">
      <c r="A96" s="3" t="s">
        <v>103</v>
      </c>
      <c r="B96" s="14" t="n">
        <f aca="false">((Assumptions!$B$42*((1-Assumptions!$B$50)+Assumptions!$B$50*0.1)/1000000*Assumptions!$B$46+Assumptions!$B$45/1000000*Assumptions!$B$47)*Assumptions!$B$48*(1-Assumptions!$B$49)+((Assumptions!$B$35/1000000*Assumptions!$B$39+Assumptions!$B$38/1000000*Assumptions!$B$40)*Assumptions!$B$48*Assumptions!$B$49)+Assumptions!$B$56*Assumptions!$B$57)*Assumptions!$B$53*Assumptions!$B$4</f>
        <v>158.9016</v>
      </c>
      <c r="C96" s="14" t="n">
        <f aca="false">((Assumptions!$B$43*((1-Assumptions!$B$51)+Assumptions!$B$51*0.1)/1000000*Assumptions!$B$46+Assumptions!$B$45/1000000*Assumptions!$B$47)*Assumptions!$B$48*(1-Assumptions!$B$49)+((Assumptions!$B$36/1000000*Assumptions!$B$39+Assumptions!$B$38/1000000*Assumptions!$B$40)*Assumptions!$B$48*Assumptions!$B$49)+Assumptions!$B$56*Assumptions!$B$57)*Assumptions!$B$54*Assumptions!$B$4</f>
        <v>205.8438096</v>
      </c>
      <c r="D96" s="14" t="n">
        <f aca="false">((Assumptions!$B$44*((1-Assumptions!$B$52)+Assumptions!$B$52*0.1)/1000000*Assumptions!$B$46+Assumptions!$B$45/1000000*Assumptions!$B$47)*Assumptions!$B$48*(1-Assumptions!$B$49)+((Assumptions!$B$37/1000000*Assumptions!$B$39+Assumptions!$B$38/1000000*Assumptions!$B$40)*Assumptions!$B$48*Assumptions!$B$49)+Assumptions!$B$56*Assumptions!$B$57)*Assumptions!$B$55*Assumptions!$B$4</f>
        <v>246.6942192</v>
      </c>
    </row>
    <row r="97" customFormat="false" ht="15" hidden="false" customHeight="false" outlineLevel="0" collapsed="false">
      <c r="A97" s="3" t="s">
        <v>104</v>
      </c>
      <c r="B97" s="14" t="n">
        <f aca="false">Assumptions!$B$30-Assumptions!$B$96</f>
        <v>140.0984</v>
      </c>
    </row>
    <row r="98" customFormat="false" ht="15" hidden="false" customHeight="false" outlineLevel="0" collapsed="false">
      <c r="A98" s="3" t="s">
        <v>105</v>
      </c>
      <c r="B98" s="13" t="n">
        <f aca="false">IF(Assumptions!$B$30=0,0,(Assumptions!$B$95-Assumptions!$B$96)/Assumptions!$B$30)</f>
        <v>-0.462573913043478</v>
      </c>
    </row>
  </sheetData>
  <mergeCells count="10">
    <mergeCell ref="A1:C1"/>
    <mergeCell ref="A3:B3"/>
    <mergeCell ref="A6:B6"/>
    <mergeCell ref="A28:B28"/>
    <mergeCell ref="A34:B34"/>
    <mergeCell ref="A60:B60"/>
    <mergeCell ref="A67:B67"/>
    <mergeCell ref="A79:B79"/>
    <mergeCell ref="A84:B84"/>
    <mergeCell ref="A93:C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5" min="3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7" t="s">
        <v>106</v>
      </c>
      <c r="B1" s="17" t="s">
        <v>107</v>
      </c>
      <c r="C1" s="17" t="s">
        <v>108</v>
      </c>
      <c r="D1" s="17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114</v>
      </c>
      <c r="J1" s="17" t="s">
        <v>115</v>
      </c>
    </row>
    <row r="2" customFormat="false" ht="15" hidden="false" customHeight="false" outlineLevel="0" collapsed="false">
      <c r="A2" s="18" t="n">
        <v>1</v>
      </c>
      <c r="B2" s="18" t="s">
        <v>99</v>
      </c>
      <c r="C2" s="9" t="n">
        <v>20</v>
      </c>
      <c r="D2" s="9" t="n">
        <v>0</v>
      </c>
      <c r="E2" s="9" t="n">
        <v>0</v>
      </c>
      <c r="F2" s="9" t="n">
        <v>0</v>
      </c>
      <c r="G2" s="19" t="n">
        <f aca="false">C2+D2+E2+F2</f>
        <v>20</v>
      </c>
      <c r="H2" s="19" t="n">
        <f aca="false">D2</f>
        <v>0</v>
      </c>
      <c r="I2" s="19" t="n">
        <f aca="false">ROUND(C2*Assumptions!$B$23+D2*Assumptions!$B$24+E2*Assumptions!$B$25+F2*Assumptions!$B$26,0)</f>
        <v>1</v>
      </c>
    </row>
    <row r="3" customFormat="false" ht="15" hidden="false" customHeight="false" outlineLevel="0" collapsed="false">
      <c r="A3" s="20" t="n">
        <v>2</v>
      </c>
      <c r="B3" s="20" t="s">
        <v>99</v>
      </c>
      <c r="C3" s="21" t="n">
        <v>40</v>
      </c>
      <c r="D3" s="21" t="n">
        <v>0</v>
      </c>
      <c r="E3" s="21" t="n">
        <v>0</v>
      </c>
      <c r="F3" s="21" t="n">
        <v>0</v>
      </c>
      <c r="G3" s="22" t="n">
        <f aca="false">C3+D3+E3+F3</f>
        <v>40</v>
      </c>
      <c r="H3" s="22" t="n">
        <f aca="false">D3</f>
        <v>0</v>
      </c>
      <c r="I3" s="22" t="n">
        <f aca="false">ROUND(C3*Assumptions!$B$23+D3*Assumptions!$B$24+E3*Assumptions!$B$25+F3*Assumptions!$B$26,0)</f>
        <v>1</v>
      </c>
      <c r="J3" s="23"/>
    </row>
    <row r="4" customFormat="false" ht="15" hidden="false" customHeight="false" outlineLevel="0" collapsed="false">
      <c r="A4" s="18" t="n">
        <v>3</v>
      </c>
      <c r="B4" s="18" t="s">
        <v>99</v>
      </c>
      <c r="C4" s="9" t="n">
        <v>60</v>
      </c>
      <c r="D4" s="9" t="n">
        <v>0</v>
      </c>
      <c r="E4" s="9" t="n">
        <v>0</v>
      </c>
      <c r="F4" s="9" t="n">
        <v>0</v>
      </c>
      <c r="G4" s="19" t="n">
        <f aca="false">C4+D4+E4+F4</f>
        <v>60</v>
      </c>
      <c r="H4" s="19" t="n">
        <f aca="false">D4</f>
        <v>0</v>
      </c>
      <c r="I4" s="19" t="n">
        <f aca="false">ROUND(C4*Assumptions!$B$23+D4*Assumptions!$B$24+E4*Assumptions!$B$25+F4*Assumptions!$B$26,0)</f>
        <v>2</v>
      </c>
    </row>
    <row r="5" customFormat="false" ht="15" hidden="false" customHeight="false" outlineLevel="0" collapsed="false">
      <c r="A5" s="20" t="n">
        <v>4</v>
      </c>
      <c r="B5" s="20" t="s">
        <v>99</v>
      </c>
      <c r="C5" s="21" t="n">
        <v>80</v>
      </c>
      <c r="D5" s="21" t="n">
        <v>0</v>
      </c>
      <c r="E5" s="21" t="n">
        <v>0</v>
      </c>
      <c r="F5" s="21" t="n">
        <v>0</v>
      </c>
      <c r="G5" s="22" t="n">
        <f aca="false">C5+D5+E5+F5</f>
        <v>80</v>
      </c>
      <c r="H5" s="22" t="n">
        <f aca="false">D5</f>
        <v>0</v>
      </c>
      <c r="I5" s="22" t="n">
        <f aca="false">ROUND(C5*Assumptions!$B$23+D5*Assumptions!$B$24+E5*Assumptions!$B$25+F5*Assumptions!$B$26,0)</f>
        <v>2</v>
      </c>
      <c r="J5" s="23"/>
    </row>
    <row r="6" customFormat="false" ht="15" hidden="false" customHeight="false" outlineLevel="0" collapsed="false">
      <c r="A6" s="18" t="n">
        <v>5</v>
      </c>
      <c r="B6" s="18" t="s">
        <v>99</v>
      </c>
      <c r="C6" s="9" t="n">
        <v>0</v>
      </c>
      <c r="D6" s="9" t="n">
        <v>90</v>
      </c>
      <c r="E6" s="9" t="n">
        <v>60</v>
      </c>
      <c r="F6" s="9" t="n">
        <v>0</v>
      </c>
      <c r="G6" s="19" t="n">
        <f aca="false">C6+D6+E6+F6</f>
        <v>150</v>
      </c>
      <c r="H6" s="19" t="n">
        <f aca="false">D6</f>
        <v>90</v>
      </c>
      <c r="I6" s="19" t="n">
        <f aca="false">ROUND(C6*Assumptions!$B$23+D6*Assumptions!$B$24+E6*Assumptions!$B$25+F6*Assumptions!$B$26,0)</f>
        <v>10</v>
      </c>
    </row>
    <row r="7" customFormat="false" ht="15" hidden="false" customHeight="false" outlineLevel="0" collapsed="false">
      <c r="A7" s="20" t="n">
        <v>6</v>
      </c>
      <c r="B7" s="20" t="s">
        <v>99</v>
      </c>
      <c r="C7" s="21" t="n">
        <v>0</v>
      </c>
      <c r="D7" s="24" t="n">
        <f aca="false">ROUND(ROUND(G6*(1+Assumptions!$B$20),0)*Assumptions!$B$11,0)</f>
        <v>104</v>
      </c>
      <c r="E7" s="24" t="n">
        <f aca="false">ROUND(ROUND(G6*(1+Assumptions!$B$20),0)*Assumptions!$B$14,0)</f>
        <v>69</v>
      </c>
      <c r="F7" s="24" t="n">
        <f aca="false">ROUND(ROUND(G6*(1+Assumptions!$B$20),0)*Assumptions!$B$17,0)</f>
        <v>0</v>
      </c>
      <c r="G7" s="22" t="n">
        <f aca="false">C7+D7+E7+F7</f>
        <v>173</v>
      </c>
      <c r="H7" s="22" t="n">
        <f aca="false">MAX(D7-D6,0)</f>
        <v>14</v>
      </c>
      <c r="I7" s="22" t="n">
        <f aca="false">ROUND(C7*Assumptions!$B$23+D7*Assumptions!$B$24+E7*Assumptions!$B$25+F7*Assumptions!$B$26,0)</f>
        <v>11</v>
      </c>
      <c r="J7" s="23"/>
    </row>
    <row r="8" customFormat="false" ht="15" hidden="false" customHeight="false" outlineLevel="0" collapsed="false">
      <c r="A8" s="18" t="n">
        <v>7</v>
      </c>
      <c r="B8" s="18" t="s">
        <v>99</v>
      </c>
      <c r="C8" s="9" t="n">
        <v>0</v>
      </c>
      <c r="D8" s="25" t="n">
        <f aca="false">ROUND(ROUND(G7*(1+Assumptions!$B$20),0)*Assumptions!$B$11,0)</f>
        <v>119</v>
      </c>
      <c r="E8" s="25" t="n">
        <f aca="false">ROUND(ROUND(G7*(1+Assumptions!$B$20),0)*Assumptions!$B$14,0)</f>
        <v>80</v>
      </c>
      <c r="F8" s="25" t="n">
        <f aca="false">ROUND(ROUND(G7*(1+Assumptions!$B$20),0)*Assumptions!$B$17,0)</f>
        <v>0</v>
      </c>
      <c r="G8" s="19" t="n">
        <f aca="false">C8+D8+E8+F8</f>
        <v>199</v>
      </c>
      <c r="H8" s="19" t="n">
        <f aca="false">MAX(D8-D7,0)</f>
        <v>15</v>
      </c>
      <c r="I8" s="19" t="n">
        <f aca="false">ROUND(C8*Assumptions!$B$23+D8*Assumptions!$B$24+E8*Assumptions!$B$25+F8*Assumptions!$B$26,0)</f>
        <v>13</v>
      </c>
    </row>
    <row r="9" customFormat="false" ht="15" hidden="false" customHeight="false" outlineLevel="0" collapsed="false">
      <c r="A9" s="20" t="n">
        <v>8</v>
      </c>
      <c r="B9" s="20" t="s">
        <v>99</v>
      </c>
      <c r="C9" s="21" t="n">
        <v>0</v>
      </c>
      <c r="D9" s="24" t="n">
        <f aca="false">ROUND(ROUND(G8*(1+Assumptions!$B$20),0)*Assumptions!$B$11,0)</f>
        <v>137</v>
      </c>
      <c r="E9" s="24" t="n">
        <f aca="false">ROUND(ROUND(G8*(1+Assumptions!$B$20),0)*Assumptions!$B$14,0)</f>
        <v>92</v>
      </c>
      <c r="F9" s="24" t="n">
        <f aca="false">ROUND(ROUND(G8*(1+Assumptions!$B$20),0)*Assumptions!$B$17,0)</f>
        <v>0</v>
      </c>
      <c r="G9" s="22" t="n">
        <f aca="false">C9+D9+E9+F9</f>
        <v>229</v>
      </c>
      <c r="H9" s="22" t="n">
        <f aca="false">MAX(D9-D8,0)</f>
        <v>18</v>
      </c>
      <c r="I9" s="22" t="n">
        <f aca="false">ROUND(C9*Assumptions!$B$23+D9*Assumptions!$B$24+E9*Assumptions!$B$25+F9*Assumptions!$B$26,0)</f>
        <v>15</v>
      </c>
      <c r="J9" s="23"/>
    </row>
    <row r="10" customFormat="false" ht="15" hidden="false" customHeight="false" outlineLevel="0" collapsed="false">
      <c r="A10" s="18" t="n">
        <v>9</v>
      </c>
      <c r="B10" s="18" t="s">
        <v>99</v>
      </c>
      <c r="C10" s="9" t="n">
        <v>0</v>
      </c>
      <c r="D10" s="25" t="n">
        <f aca="false">ROUND(ROUND(G9*(1+Assumptions!$B$20),0)*Assumptions!$B$11,0)</f>
        <v>158</v>
      </c>
      <c r="E10" s="25" t="n">
        <f aca="false">ROUND(ROUND(G9*(1+Assumptions!$B$20),0)*Assumptions!$B$14,0)</f>
        <v>105</v>
      </c>
      <c r="F10" s="25" t="n">
        <f aca="false">ROUND(ROUND(G9*(1+Assumptions!$B$20),0)*Assumptions!$B$17,0)</f>
        <v>0</v>
      </c>
      <c r="G10" s="19" t="n">
        <f aca="false">C10+D10+E10+F10</f>
        <v>263</v>
      </c>
      <c r="H10" s="19" t="n">
        <f aca="false">MAX(D10-D9,0)</f>
        <v>21</v>
      </c>
      <c r="I10" s="19" t="n">
        <f aca="false">ROUND(C10*Assumptions!$B$23+D10*Assumptions!$B$24+E10*Assumptions!$B$25+F10*Assumptions!$B$26,0)</f>
        <v>17</v>
      </c>
    </row>
    <row r="11" customFormat="false" ht="15" hidden="false" customHeight="false" outlineLevel="0" collapsed="false">
      <c r="A11" s="20" t="n">
        <v>10</v>
      </c>
      <c r="B11" s="20" t="s">
        <v>99</v>
      </c>
      <c r="C11" s="21" t="n">
        <v>0</v>
      </c>
      <c r="D11" s="24" t="n">
        <f aca="false">ROUND(ROUND(G10*(1+Assumptions!$B$20),0)*Assumptions!$B$11,0)</f>
        <v>181</v>
      </c>
      <c r="E11" s="24" t="n">
        <f aca="false">ROUND(ROUND(G10*(1+Assumptions!$B$20),0)*Assumptions!$B$14,0)</f>
        <v>121</v>
      </c>
      <c r="F11" s="24" t="n">
        <f aca="false">ROUND(ROUND(G10*(1+Assumptions!$B$20),0)*Assumptions!$B$17,0)</f>
        <v>0</v>
      </c>
      <c r="G11" s="22" t="n">
        <f aca="false">C11+D11+E11+F11</f>
        <v>302</v>
      </c>
      <c r="H11" s="22" t="n">
        <f aca="false">MAX(D11-D10,0)</f>
        <v>23</v>
      </c>
      <c r="I11" s="22" t="n">
        <f aca="false">ROUND(C11*Assumptions!$B$23+D11*Assumptions!$B$24+E11*Assumptions!$B$25+F11*Assumptions!$B$26,0)</f>
        <v>19</v>
      </c>
      <c r="J11" s="23"/>
    </row>
    <row r="12" customFormat="false" ht="15" hidden="false" customHeight="false" outlineLevel="0" collapsed="false">
      <c r="A12" s="18" t="n">
        <v>11</v>
      </c>
      <c r="B12" s="18" t="s">
        <v>99</v>
      </c>
      <c r="C12" s="9" t="n">
        <v>0</v>
      </c>
      <c r="D12" s="25" t="n">
        <f aca="false">ROUND(ROUND(G11*(1+Assumptions!$B$20),0)*Assumptions!$B$11,0)</f>
        <v>208</v>
      </c>
      <c r="E12" s="25" t="n">
        <f aca="false">ROUND(ROUND(G11*(1+Assumptions!$B$20),0)*Assumptions!$B$14,0)</f>
        <v>139</v>
      </c>
      <c r="F12" s="25" t="n">
        <f aca="false">ROUND(ROUND(G11*(1+Assumptions!$B$20),0)*Assumptions!$B$17,0)</f>
        <v>0</v>
      </c>
      <c r="G12" s="19" t="n">
        <f aca="false">C12+D12+E12+F12</f>
        <v>347</v>
      </c>
      <c r="H12" s="19" t="n">
        <f aca="false">MAX(D12-D11,0)</f>
        <v>27</v>
      </c>
      <c r="I12" s="19" t="n">
        <f aca="false">ROUND(C12*Assumptions!$B$23+D12*Assumptions!$B$24+E12*Assumptions!$B$25+F12*Assumptions!$B$26,0)</f>
        <v>22</v>
      </c>
    </row>
    <row r="13" customFormat="false" ht="15" hidden="false" customHeight="false" outlineLevel="0" collapsed="false">
      <c r="A13" s="20" t="n">
        <v>12</v>
      </c>
      <c r="B13" s="20" t="s">
        <v>99</v>
      </c>
      <c r="C13" s="21" t="n">
        <v>0</v>
      </c>
      <c r="D13" s="24" t="n">
        <f aca="false">ROUND(ROUND(G12*(1+Assumptions!$B$20),0)*Assumptions!$B$11,0)</f>
        <v>239</v>
      </c>
      <c r="E13" s="24" t="n">
        <f aca="false">ROUND(ROUND(G12*(1+Assumptions!$B$20),0)*Assumptions!$B$14,0)</f>
        <v>160</v>
      </c>
      <c r="F13" s="24" t="n">
        <f aca="false">ROUND(ROUND(G12*(1+Assumptions!$B$20),0)*Assumptions!$B$17,0)</f>
        <v>0</v>
      </c>
      <c r="G13" s="22" t="n">
        <f aca="false">C13+D13+E13+F13</f>
        <v>399</v>
      </c>
      <c r="H13" s="22" t="n">
        <f aca="false">MAX(D13-D12,0)</f>
        <v>31</v>
      </c>
      <c r="I13" s="22" t="n">
        <f aca="false">ROUND(C13*Assumptions!$B$23+D13*Assumptions!$B$24+E13*Assumptions!$B$25+F13*Assumptions!$B$26,0)</f>
        <v>26</v>
      </c>
      <c r="J13" s="23"/>
    </row>
    <row r="14" customFormat="false" ht="15" hidden="false" customHeight="false" outlineLevel="0" collapsed="false">
      <c r="A14" s="18" t="n">
        <v>13</v>
      </c>
      <c r="B14" s="18" t="s">
        <v>100</v>
      </c>
      <c r="C14" s="9" t="n">
        <v>0</v>
      </c>
      <c r="D14" s="25" t="n">
        <f aca="false">ROUND(ROUND(G13*(1+Assumptions!$B$21),0)*Assumptions!$B$12,0)</f>
        <v>241</v>
      </c>
      <c r="E14" s="25" t="n">
        <f aca="false">ROUND(ROUND(G13*(1+Assumptions!$B$21),0)*Assumptions!$B$15,0)</f>
        <v>167</v>
      </c>
      <c r="F14" s="25" t="n">
        <f aca="false">ROUND(ROUND(G13*(1+Assumptions!$B$21),0)*Assumptions!$B$18,0)</f>
        <v>31</v>
      </c>
      <c r="G14" s="19" t="n">
        <f aca="false">C14+D14+E14+F14</f>
        <v>439</v>
      </c>
      <c r="H14" s="19" t="n">
        <f aca="false">MAX(D14-D13,0)</f>
        <v>2</v>
      </c>
      <c r="I14" s="19" t="n">
        <f aca="false">ROUND(C14*Assumptions!$B$23+D14*Assumptions!$B$24+E14*Assumptions!$B$25+F14*Assumptions!$B$26,0)</f>
        <v>27</v>
      </c>
    </row>
    <row r="15" customFormat="false" ht="15" hidden="false" customHeight="false" outlineLevel="0" collapsed="false">
      <c r="A15" s="20" t="n">
        <v>14</v>
      </c>
      <c r="B15" s="20" t="s">
        <v>100</v>
      </c>
      <c r="C15" s="21" t="n">
        <v>0</v>
      </c>
      <c r="D15" s="24" t="n">
        <f aca="false">ROUND(ROUND(G14*(1+Assumptions!$B$21),0)*Assumptions!$B$12,0)</f>
        <v>266</v>
      </c>
      <c r="E15" s="24" t="n">
        <f aca="false">ROUND(ROUND(G14*(1+Assumptions!$B$21),0)*Assumptions!$B$15,0)</f>
        <v>184</v>
      </c>
      <c r="F15" s="24" t="n">
        <f aca="false">ROUND(ROUND(G14*(1+Assumptions!$B$21),0)*Assumptions!$B$18,0)</f>
        <v>34</v>
      </c>
      <c r="G15" s="22" t="n">
        <f aca="false">C15+D15+E15+F15</f>
        <v>484</v>
      </c>
      <c r="H15" s="22" t="n">
        <f aca="false">MAX(D15-D14,0)</f>
        <v>25</v>
      </c>
      <c r="I15" s="22" t="n">
        <f aca="false">ROUND(C15*Assumptions!$B$23+D15*Assumptions!$B$24+E15*Assumptions!$B$25+F15*Assumptions!$B$26,0)</f>
        <v>30</v>
      </c>
      <c r="J15" s="23"/>
    </row>
    <row r="16" customFormat="false" ht="15" hidden="false" customHeight="false" outlineLevel="0" collapsed="false">
      <c r="A16" s="18" t="n">
        <v>15</v>
      </c>
      <c r="B16" s="18" t="s">
        <v>100</v>
      </c>
      <c r="C16" s="9" t="n">
        <v>0</v>
      </c>
      <c r="D16" s="25" t="n">
        <f aca="false">ROUND(ROUND(G15*(1+Assumptions!$B$21),0)*Assumptions!$B$12,0)</f>
        <v>293</v>
      </c>
      <c r="E16" s="25" t="n">
        <f aca="false">ROUND(ROUND(G15*(1+Assumptions!$B$21),0)*Assumptions!$B$15,0)</f>
        <v>202</v>
      </c>
      <c r="F16" s="25" t="n">
        <f aca="false">ROUND(ROUND(G15*(1+Assumptions!$B$21),0)*Assumptions!$B$18,0)</f>
        <v>37</v>
      </c>
      <c r="G16" s="19" t="n">
        <f aca="false">C16+D16+E16+F16</f>
        <v>532</v>
      </c>
      <c r="H16" s="19" t="n">
        <f aca="false">MAX(D16-D15,0)</f>
        <v>27</v>
      </c>
      <c r="I16" s="19" t="n">
        <f aca="false">ROUND(C16*Assumptions!$B$23+D16*Assumptions!$B$24+E16*Assumptions!$B$25+F16*Assumptions!$B$26,0)</f>
        <v>33</v>
      </c>
    </row>
    <row r="17" customFormat="false" ht="15" hidden="false" customHeight="false" outlineLevel="0" collapsed="false">
      <c r="A17" s="20" t="n">
        <v>16</v>
      </c>
      <c r="B17" s="20" t="s">
        <v>100</v>
      </c>
      <c r="C17" s="21" t="n">
        <v>0</v>
      </c>
      <c r="D17" s="24" t="n">
        <f aca="false">ROUND(ROUND(G16*(1+Assumptions!$B$21),0)*Assumptions!$B$12,0)</f>
        <v>322</v>
      </c>
      <c r="E17" s="24" t="n">
        <f aca="false">ROUND(ROUND(G16*(1+Assumptions!$B$21),0)*Assumptions!$B$15,0)</f>
        <v>222</v>
      </c>
      <c r="F17" s="24" t="n">
        <f aca="false">ROUND(ROUND(G16*(1+Assumptions!$B$21),0)*Assumptions!$B$18,0)</f>
        <v>41</v>
      </c>
      <c r="G17" s="22" t="n">
        <f aca="false">C17+D17+E17+F17</f>
        <v>585</v>
      </c>
      <c r="H17" s="22" t="n">
        <f aca="false">MAX(D17-D16,0)</f>
        <v>29</v>
      </c>
      <c r="I17" s="22" t="n">
        <f aca="false">ROUND(C17*Assumptions!$B$23+D17*Assumptions!$B$24+E17*Assumptions!$B$25+F17*Assumptions!$B$26,0)</f>
        <v>36</v>
      </c>
      <c r="J17" s="23"/>
    </row>
    <row r="18" customFormat="false" ht="15" hidden="false" customHeight="false" outlineLevel="0" collapsed="false">
      <c r="A18" s="18" t="n">
        <v>17</v>
      </c>
      <c r="B18" s="18" t="s">
        <v>100</v>
      </c>
      <c r="C18" s="9" t="n">
        <v>0</v>
      </c>
      <c r="D18" s="25" t="n">
        <f aca="false">ROUND(ROUND(G17*(1+Assumptions!$B$21),0)*Assumptions!$B$12,0)</f>
        <v>354</v>
      </c>
      <c r="E18" s="25" t="n">
        <f aca="false">ROUND(ROUND(G17*(1+Assumptions!$B$21),0)*Assumptions!$B$15,0)</f>
        <v>245</v>
      </c>
      <c r="F18" s="25" t="n">
        <f aca="false">ROUND(ROUND(G17*(1+Assumptions!$B$21),0)*Assumptions!$B$18,0)</f>
        <v>45</v>
      </c>
      <c r="G18" s="19" t="n">
        <f aca="false">C18+D18+E18+F18</f>
        <v>644</v>
      </c>
      <c r="H18" s="19" t="n">
        <f aca="false">MAX(D18-D17,0)</f>
        <v>32</v>
      </c>
      <c r="I18" s="19" t="n">
        <f aca="false">ROUND(C18*Assumptions!$B$23+D18*Assumptions!$B$24+E18*Assumptions!$B$25+F18*Assumptions!$B$26,0)</f>
        <v>39</v>
      </c>
    </row>
    <row r="19" customFormat="false" ht="15" hidden="false" customHeight="false" outlineLevel="0" collapsed="false">
      <c r="A19" s="20" t="n">
        <v>18</v>
      </c>
      <c r="B19" s="20" t="s">
        <v>100</v>
      </c>
      <c r="C19" s="21" t="n">
        <v>0</v>
      </c>
      <c r="D19" s="24" t="n">
        <f aca="false">ROUND(ROUND(G18*(1+Assumptions!$B$21),0)*Assumptions!$B$12,0)</f>
        <v>389</v>
      </c>
      <c r="E19" s="24" t="n">
        <f aca="false">ROUND(ROUND(G18*(1+Assumptions!$B$21),0)*Assumptions!$B$15,0)</f>
        <v>269</v>
      </c>
      <c r="F19" s="24" t="n">
        <f aca="false">ROUND(ROUND(G18*(1+Assumptions!$B$21),0)*Assumptions!$B$18,0)</f>
        <v>50</v>
      </c>
      <c r="G19" s="22" t="n">
        <f aca="false">C19+D19+E19+F19</f>
        <v>708</v>
      </c>
      <c r="H19" s="22" t="n">
        <f aca="false">MAX(D19-D18,0)</f>
        <v>35</v>
      </c>
      <c r="I19" s="22" t="n">
        <f aca="false">ROUND(C19*Assumptions!$B$23+D19*Assumptions!$B$24+E19*Assumptions!$B$25+F19*Assumptions!$B$26,0)</f>
        <v>43</v>
      </c>
      <c r="J19" s="23"/>
    </row>
    <row r="20" customFormat="false" ht="15" hidden="false" customHeight="false" outlineLevel="0" collapsed="false">
      <c r="A20" s="18" t="n">
        <v>19</v>
      </c>
      <c r="B20" s="18" t="s">
        <v>100</v>
      </c>
      <c r="C20" s="9" t="n">
        <v>0</v>
      </c>
      <c r="D20" s="25" t="n">
        <f aca="false">ROUND(ROUND(G19*(1+Assumptions!$B$21),0)*Assumptions!$B$12,0)</f>
        <v>428</v>
      </c>
      <c r="E20" s="25" t="n">
        <f aca="false">ROUND(ROUND(G19*(1+Assumptions!$B$21),0)*Assumptions!$B$15,0)</f>
        <v>296</v>
      </c>
      <c r="F20" s="25" t="n">
        <f aca="false">ROUND(ROUND(G19*(1+Assumptions!$B$21),0)*Assumptions!$B$18,0)</f>
        <v>55</v>
      </c>
      <c r="G20" s="19" t="n">
        <f aca="false">C20+D20+E20+F20</f>
        <v>779</v>
      </c>
      <c r="H20" s="19" t="n">
        <f aca="false">MAX(D20-D19,0)</f>
        <v>39</v>
      </c>
      <c r="I20" s="19" t="n">
        <f aca="false">ROUND(C20*Assumptions!$B$23+D20*Assumptions!$B$24+E20*Assumptions!$B$25+F20*Assumptions!$B$26,0)</f>
        <v>48</v>
      </c>
    </row>
    <row r="21" customFormat="false" ht="15" hidden="false" customHeight="false" outlineLevel="0" collapsed="false">
      <c r="A21" s="20" t="n">
        <v>20</v>
      </c>
      <c r="B21" s="20" t="s">
        <v>100</v>
      </c>
      <c r="C21" s="21" t="n">
        <v>0</v>
      </c>
      <c r="D21" s="24" t="n">
        <f aca="false">ROUND(ROUND(G20*(1+Assumptions!$B$21),0)*Assumptions!$B$12,0)</f>
        <v>471</v>
      </c>
      <c r="E21" s="24" t="n">
        <f aca="false">ROUND(ROUND(G20*(1+Assumptions!$B$21),0)*Assumptions!$B$15,0)</f>
        <v>326</v>
      </c>
      <c r="F21" s="24" t="n">
        <f aca="false">ROUND(ROUND(G20*(1+Assumptions!$B$21),0)*Assumptions!$B$18,0)</f>
        <v>60</v>
      </c>
      <c r="G21" s="22" t="n">
        <f aca="false">C21+D21+E21+F21</f>
        <v>857</v>
      </c>
      <c r="H21" s="22" t="n">
        <f aca="false">MAX(D21-D20,0)</f>
        <v>43</v>
      </c>
      <c r="I21" s="22" t="n">
        <f aca="false">ROUND(C21*Assumptions!$B$23+D21*Assumptions!$B$24+E21*Assumptions!$B$25+F21*Assumptions!$B$26,0)</f>
        <v>53</v>
      </c>
      <c r="J21" s="23"/>
    </row>
    <row r="22" customFormat="false" ht="15" hidden="false" customHeight="false" outlineLevel="0" collapsed="false">
      <c r="A22" s="18" t="n">
        <v>21</v>
      </c>
      <c r="B22" s="18" t="s">
        <v>100</v>
      </c>
      <c r="C22" s="9" t="n">
        <v>0</v>
      </c>
      <c r="D22" s="25" t="n">
        <f aca="false">ROUND(ROUND(G21*(1+Assumptions!$B$21),0)*Assumptions!$B$12,0)</f>
        <v>519</v>
      </c>
      <c r="E22" s="25" t="n">
        <f aca="false">ROUND(ROUND(G21*(1+Assumptions!$B$21),0)*Assumptions!$B$15,0)</f>
        <v>358</v>
      </c>
      <c r="F22" s="25" t="n">
        <f aca="false">ROUND(ROUND(G21*(1+Assumptions!$B$21),0)*Assumptions!$B$18,0)</f>
        <v>66</v>
      </c>
      <c r="G22" s="19" t="n">
        <f aca="false">C22+D22+E22+F22</f>
        <v>943</v>
      </c>
      <c r="H22" s="19" t="n">
        <f aca="false">MAX(D22-D21,0)</f>
        <v>48</v>
      </c>
      <c r="I22" s="19" t="n">
        <f aca="false">ROUND(C22*Assumptions!$B$23+D22*Assumptions!$B$24+E22*Assumptions!$B$25+F22*Assumptions!$B$26,0)</f>
        <v>58</v>
      </c>
    </row>
    <row r="23" customFormat="false" ht="15" hidden="false" customHeight="false" outlineLevel="0" collapsed="false">
      <c r="A23" s="20" t="n">
        <v>22</v>
      </c>
      <c r="B23" s="20" t="s">
        <v>100</v>
      </c>
      <c r="C23" s="21" t="n">
        <v>0</v>
      </c>
      <c r="D23" s="24" t="n">
        <f aca="false">ROUND(ROUND(G22*(1+Assumptions!$B$21),0)*Assumptions!$B$12,0)</f>
        <v>570</v>
      </c>
      <c r="E23" s="24" t="n">
        <f aca="false">ROUND(ROUND(G22*(1+Assumptions!$B$21),0)*Assumptions!$B$15,0)</f>
        <v>394</v>
      </c>
      <c r="F23" s="24" t="n">
        <f aca="false">ROUND(ROUND(G22*(1+Assumptions!$B$21),0)*Assumptions!$B$18,0)</f>
        <v>73</v>
      </c>
      <c r="G23" s="22" t="n">
        <f aca="false">C23+D23+E23+F23</f>
        <v>1037</v>
      </c>
      <c r="H23" s="22" t="n">
        <f aca="false">MAX(D23-D22,0)</f>
        <v>51</v>
      </c>
      <c r="I23" s="22" t="n">
        <f aca="false">ROUND(C23*Assumptions!$B$23+D23*Assumptions!$B$24+E23*Assumptions!$B$25+F23*Assumptions!$B$26,0)</f>
        <v>64</v>
      </c>
      <c r="J23" s="23"/>
    </row>
    <row r="24" customFormat="false" ht="15" hidden="false" customHeight="false" outlineLevel="0" collapsed="false">
      <c r="A24" s="18" t="n">
        <v>23</v>
      </c>
      <c r="B24" s="18" t="s">
        <v>100</v>
      </c>
      <c r="C24" s="9" t="n">
        <v>0</v>
      </c>
      <c r="D24" s="25" t="n">
        <f aca="false">ROUND(ROUND(G23*(1+Assumptions!$B$21),0)*Assumptions!$B$12,0)</f>
        <v>628</v>
      </c>
      <c r="E24" s="25" t="n">
        <f aca="false">ROUND(ROUND(G23*(1+Assumptions!$B$21),0)*Assumptions!$B$15,0)</f>
        <v>434</v>
      </c>
      <c r="F24" s="25" t="n">
        <f aca="false">ROUND(ROUND(G23*(1+Assumptions!$B$21),0)*Assumptions!$B$18,0)</f>
        <v>80</v>
      </c>
      <c r="G24" s="19" t="n">
        <f aca="false">C24+D24+E24+F24</f>
        <v>1142</v>
      </c>
      <c r="H24" s="19" t="n">
        <f aca="false">MAX(D24-D23,0)</f>
        <v>58</v>
      </c>
      <c r="I24" s="19" t="n">
        <f aca="false">ROUND(C24*Assumptions!$B$23+D24*Assumptions!$B$24+E24*Assumptions!$B$25+F24*Assumptions!$B$26,0)</f>
        <v>70</v>
      </c>
    </row>
    <row r="25" customFormat="false" ht="15" hidden="false" customHeight="false" outlineLevel="0" collapsed="false">
      <c r="A25" s="20" t="n">
        <v>24</v>
      </c>
      <c r="B25" s="20" t="s">
        <v>100</v>
      </c>
      <c r="C25" s="21" t="n">
        <v>0</v>
      </c>
      <c r="D25" s="24" t="n">
        <f aca="false">ROUND(ROUND(G24*(1+Assumptions!$B$21),0)*Assumptions!$B$12,0)</f>
        <v>691</v>
      </c>
      <c r="E25" s="24" t="n">
        <f aca="false">ROUND(ROUND(G24*(1+Assumptions!$B$21),0)*Assumptions!$B$15,0)</f>
        <v>477</v>
      </c>
      <c r="F25" s="24" t="n">
        <f aca="false">ROUND(ROUND(G24*(1+Assumptions!$B$21),0)*Assumptions!$B$18,0)</f>
        <v>88</v>
      </c>
      <c r="G25" s="22" t="n">
        <f aca="false">C25+D25+E25+F25</f>
        <v>1256</v>
      </c>
      <c r="H25" s="22" t="n">
        <f aca="false">MAX(D25-D24,0)</f>
        <v>63</v>
      </c>
      <c r="I25" s="22" t="n">
        <f aca="false">ROUND(C25*Assumptions!$B$23+D25*Assumptions!$B$24+E25*Assumptions!$B$25+F25*Assumptions!$B$26,0)</f>
        <v>77</v>
      </c>
      <c r="J25" s="23"/>
    </row>
    <row r="26" customFormat="false" ht="15" hidden="false" customHeight="false" outlineLevel="0" collapsed="false">
      <c r="A26" s="18" t="n">
        <v>25</v>
      </c>
      <c r="B26" s="18" t="s">
        <v>101</v>
      </c>
      <c r="C26" s="9" t="n">
        <v>0</v>
      </c>
      <c r="D26" s="25" t="n">
        <f aca="false">ROUND(ROUND(G25*(1+Assumptions!$B$22),0)*Assumptions!$B$13,0)</f>
        <v>746</v>
      </c>
      <c r="E26" s="25" t="n">
        <f aca="false">ROUND(ROUND(G25*(1+Assumptions!$B$22),0)*Assumptions!$B$16,0)</f>
        <v>515</v>
      </c>
      <c r="F26" s="25" t="n">
        <f aca="false">ROUND(ROUND(G25*(1+Assumptions!$B$22),0)*Assumptions!$B$19,0)</f>
        <v>95</v>
      </c>
      <c r="G26" s="19" t="n">
        <f aca="false">C26+D26+E26+F26</f>
        <v>1356</v>
      </c>
      <c r="H26" s="19" t="n">
        <f aca="false">MAX(D26-D25,0)</f>
        <v>55</v>
      </c>
      <c r="I26" s="19" t="n">
        <f aca="false">ROUND(C26*Assumptions!$B$23+D26*Assumptions!$B$24+E26*Assumptions!$B$25+F26*Assumptions!$B$26,0)</f>
        <v>83</v>
      </c>
    </row>
    <row r="27" customFormat="false" ht="15" hidden="false" customHeight="false" outlineLevel="0" collapsed="false">
      <c r="A27" s="20" t="n">
        <v>26</v>
      </c>
      <c r="B27" s="20" t="s">
        <v>101</v>
      </c>
      <c r="C27" s="21" t="n">
        <v>0</v>
      </c>
      <c r="D27" s="24" t="n">
        <f aca="false">ROUND(ROUND(G26*(1+Assumptions!$B$22),0)*Assumptions!$B$13,0)</f>
        <v>805</v>
      </c>
      <c r="E27" s="24" t="n">
        <f aca="false">ROUND(ROUND(G26*(1+Assumptions!$B$22),0)*Assumptions!$B$16,0)</f>
        <v>556</v>
      </c>
      <c r="F27" s="24" t="n">
        <f aca="false">ROUND(ROUND(G26*(1+Assumptions!$B$22),0)*Assumptions!$B$19,0)</f>
        <v>102</v>
      </c>
      <c r="G27" s="22" t="n">
        <f aca="false">C27+D27+E27+F27</f>
        <v>1463</v>
      </c>
      <c r="H27" s="22" t="n">
        <f aca="false">MAX(D27-D26,0)</f>
        <v>59</v>
      </c>
      <c r="I27" s="22" t="n">
        <f aca="false">ROUND(C27*Assumptions!$B$23+D27*Assumptions!$B$24+E27*Assumptions!$B$25+F27*Assumptions!$B$26,0)</f>
        <v>90</v>
      </c>
      <c r="J27" s="23"/>
    </row>
    <row r="28" customFormat="false" ht="15" hidden="false" customHeight="false" outlineLevel="0" collapsed="false">
      <c r="A28" s="18" t="n">
        <v>27</v>
      </c>
      <c r="B28" s="18" t="s">
        <v>101</v>
      </c>
      <c r="C28" s="9" t="n">
        <v>0</v>
      </c>
      <c r="D28" s="25" t="n">
        <f aca="false">ROUND(ROUND(G27*(1+Assumptions!$B$22),0)*Assumptions!$B$13,0)</f>
        <v>869</v>
      </c>
      <c r="E28" s="25" t="n">
        <f aca="false">ROUND(ROUND(G27*(1+Assumptions!$B$22),0)*Assumptions!$B$16,0)</f>
        <v>600</v>
      </c>
      <c r="F28" s="25" t="n">
        <f aca="false">ROUND(ROUND(G27*(1+Assumptions!$B$22),0)*Assumptions!$B$19,0)</f>
        <v>111</v>
      </c>
      <c r="G28" s="19" t="n">
        <f aca="false">C28+D28+E28+F28</f>
        <v>1580</v>
      </c>
      <c r="H28" s="19" t="n">
        <f aca="false">MAX(D28-D27,0)</f>
        <v>64</v>
      </c>
      <c r="I28" s="19" t="n">
        <f aca="false">ROUND(C28*Assumptions!$B$23+D28*Assumptions!$B$24+E28*Assumptions!$B$25+F28*Assumptions!$B$26,0)</f>
        <v>97</v>
      </c>
    </row>
    <row r="29" customFormat="false" ht="15" hidden="false" customHeight="false" outlineLevel="0" collapsed="false">
      <c r="A29" s="20" t="n">
        <v>28</v>
      </c>
      <c r="B29" s="20" t="s">
        <v>101</v>
      </c>
      <c r="C29" s="21" t="n">
        <v>0</v>
      </c>
      <c r="D29" s="24" t="n">
        <f aca="false">ROUND(ROUND(G28*(1+Assumptions!$B$22),0)*Assumptions!$B$13,0)</f>
        <v>938</v>
      </c>
      <c r="E29" s="24" t="n">
        <f aca="false">ROUND(ROUND(G28*(1+Assumptions!$B$22),0)*Assumptions!$B$16,0)</f>
        <v>648</v>
      </c>
      <c r="F29" s="24" t="n">
        <f aca="false">ROUND(ROUND(G28*(1+Assumptions!$B$22),0)*Assumptions!$B$19,0)</f>
        <v>119</v>
      </c>
      <c r="G29" s="22" t="n">
        <f aca="false">C29+D29+E29+F29</f>
        <v>1705</v>
      </c>
      <c r="H29" s="22" t="n">
        <f aca="false">MAX(D29-D28,0)</f>
        <v>69</v>
      </c>
      <c r="I29" s="22" t="n">
        <f aca="false">ROUND(C29*Assumptions!$B$23+D29*Assumptions!$B$24+E29*Assumptions!$B$25+F29*Assumptions!$B$26,0)</f>
        <v>105</v>
      </c>
      <c r="J29" s="23"/>
    </row>
    <row r="30" customFormat="false" ht="15" hidden="false" customHeight="false" outlineLevel="0" collapsed="false">
      <c r="A30" s="18" t="n">
        <v>29</v>
      </c>
      <c r="B30" s="18" t="s">
        <v>101</v>
      </c>
      <c r="C30" s="9" t="n">
        <v>0</v>
      </c>
      <c r="D30" s="25" t="n">
        <f aca="false">ROUND(ROUND(G29*(1+Assumptions!$B$22),0)*Assumptions!$B$13,0)</f>
        <v>1013</v>
      </c>
      <c r="E30" s="25" t="n">
        <f aca="false">ROUND(ROUND(G29*(1+Assumptions!$B$22),0)*Assumptions!$B$16,0)</f>
        <v>700</v>
      </c>
      <c r="F30" s="25" t="n">
        <f aca="false">ROUND(ROUND(G29*(1+Assumptions!$B$22),0)*Assumptions!$B$19,0)</f>
        <v>129</v>
      </c>
      <c r="G30" s="19" t="n">
        <f aca="false">C30+D30+E30+F30</f>
        <v>1842</v>
      </c>
      <c r="H30" s="19" t="n">
        <f aca="false">MAX(D30-D29,0)</f>
        <v>75</v>
      </c>
      <c r="I30" s="19" t="n">
        <f aca="false">ROUND(C30*Assumptions!$B$23+D30*Assumptions!$B$24+E30*Assumptions!$B$25+F30*Assumptions!$B$26,0)</f>
        <v>113</v>
      </c>
    </row>
    <row r="31" customFormat="false" ht="15" hidden="false" customHeight="false" outlineLevel="0" collapsed="false">
      <c r="A31" s="20" t="n">
        <v>30</v>
      </c>
      <c r="B31" s="20" t="s">
        <v>101</v>
      </c>
      <c r="C31" s="21" t="n">
        <v>0</v>
      </c>
      <c r="D31" s="24" t="n">
        <f aca="false">ROUND(ROUND(G30*(1+Assumptions!$B$22),0)*Assumptions!$B$13,0)</f>
        <v>1094</v>
      </c>
      <c r="E31" s="24" t="n">
        <f aca="false">ROUND(ROUND(G30*(1+Assumptions!$B$22),0)*Assumptions!$B$16,0)</f>
        <v>756</v>
      </c>
      <c r="F31" s="24" t="n">
        <f aca="false">ROUND(ROUND(G30*(1+Assumptions!$B$22),0)*Assumptions!$B$19,0)</f>
        <v>139</v>
      </c>
      <c r="G31" s="22" t="n">
        <f aca="false">C31+D31+E31+F31</f>
        <v>1989</v>
      </c>
      <c r="H31" s="22" t="n">
        <f aca="false">MAX(D31-D30,0)</f>
        <v>81</v>
      </c>
      <c r="I31" s="22" t="n">
        <f aca="false">ROUND(C31*Assumptions!$B$23+D31*Assumptions!$B$24+E31*Assumptions!$B$25+F31*Assumptions!$B$26,0)</f>
        <v>122</v>
      </c>
      <c r="J31" s="23"/>
    </row>
    <row r="32" customFormat="false" ht="15" hidden="false" customHeight="false" outlineLevel="0" collapsed="false">
      <c r="A32" s="18" t="n">
        <v>31</v>
      </c>
      <c r="B32" s="18" t="s">
        <v>101</v>
      </c>
      <c r="C32" s="9" t="n">
        <v>0</v>
      </c>
      <c r="D32" s="25" t="n">
        <f aca="false">ROUND(ROUND(G31*(1+Assumptions!$B$22),0)*Assumptions!$B$13,0)</f>
        <v>1181</v>
      </c>
      <c r="E32" s="25" t="n">
        <f aca="false">ROUND(ROUND(G31*(1+Assumptions!$B$22),0)*Assumptions!$B$16,0)</f>
        <v>816</v>
      </c>
      <c r="F32" s="25" t="n">
        <f aca="false">ROUND(ROUND(G31*(1+Assumptions!$B$22),0)*Assumptions!$B$19,0)</f>
        <v>150</v>
      </c>
      <c r="G32" s="19" t="n">
        <f aca="false">C32+D32+E32+F32</f>
        <v>2147</v>
      </c>
      <c r="H32" s="19" t="n">
        <f aca="false">MAX(D32-D31,0)</f>
        <v>87</v>
      </c>
      <c r="I32" s="19" t="n">
        <f aca="false">ROUND(C32*Assumptions!$B$23+D32*Assumptions!$B$24+E32*Assumptions!$B$25+F32*Assumptions!$B$26,0)</f>
        <v>132</v>
      </c>
    </row>
    <row r="33" customFormat="false" ht="15" hidden="false" customHeight="false" outlineLevel="0" collapsed="false">
      <c r="A33" s="20" t="n">
        <v>32</v>
      </c>
      <c r="B33" s="20" t="s">
        <v>101</v>
      </c>
      <c r="C33" s="21" t="n">
        <v>0</v>
      </c>
      <c r="D33" s="24" t="n">
        <f aca="false">ROUND(ROUND(G32*(1+Assumptions!$B$22),0)*Assumptions!$B$13,0)</f>
        <v>1275</v>
      </c>
      <c r="E33" s="24" t="n">
        <f aca="false">ROUND(ROUND(G32*(1+Assumptions!$B$22),0)*Assumptions!$B$16,0)</f>
        <v>881</v>
      </c>
      <c r="F33" s="24" t="n">
        <f aca="false">ROUND(ROUND(G32*(1+Assumptions!$B$22),0)*Assumptions!$B$19,0)</f>
        <v>162</v>
      </c>
      <c r="G33" s="22" t="n">
        <f aca="false">C33+D33+E33+F33</f>
        <v>2318</v>
      </c>
      <c r="H33" s="22" t="n">
        <f aca="false">MAX(D33-D32,0)</f>
        <v>94</v>
      </c>
      <c r="I33" s="22" t="n">
        <f aca="false">ROUND(C33*Assumptions!$B$23+D33*Assumptions!$B$24+E33*Assumptions!$B$25+F33*Assumptions!$B$26,0)</f>
        <v>142</v>
      </c>
      <c r="J33" s="23"/>
    </row>
    <row r="34" customFormat="false" ht="15" hidden="false" customHeight="false" outlineLevel="0" collapsed="false">
      <c r="A34" s="18" t="n">
        <v>33</v>
      </c>
      <c r="B34" s="18" t="s">
        <v>101</v>
      </c>
      <c r="C34" s="9" t="n">
        <v>0</v>
      </c>
      <c r="D34" s="25" t="n">
        <f aca="false">ROUND(ROUND(G33*(1+Assumptions!$B$22),0)*Assumptions!$B$13,0)</f>
        <v>1377</v>
      </c>
      <c r="E34" s="25" t="n">
        <f aca="false">ROUND(ROUND(G33*(1+Assumptions!$B$22),0)*Assumptions!$B$16,0)</f>
        <v>951</v>
      </c>
      <c r="F34" s="25" t="n">
        <f aca="false">ROUND(ROUND(G33*(1+Assumptions!$B$22),0)*Assumptions!$B$19,0)</f>
        <v>175</v>
      </c>
      <c r="G34" s="19" t="n">
        <f aca="false">C34+D34+E34+F34</f>
        <v>2503</v>
      </c>
      <c r="H34" s="19" t="n">
        <f aca="false">MAX(D34-D33,0)</f>
        <v>102</v>
      </c>
      <c r="I34" s="19" t="n">
        <f aca="false">ROUND(C34*Assumptions!$B$23+D34*Assumptions!$B$24+E34*Assumptions!$B$25+F34*Assumptions!$B$26,0)</f>
        <v>153</v>
      </c>
    </row>
    <row r="35" customFormat="false" ht="15" hidden="false" customHeight="false" outlineLevel="0" collapsed="false">
      <c r="A35" s="20" t="n">
        <v>34</v>
      </c>
      <c r="B35" s="20" t="s">
        <v>101</v>
      </c>
      <c r="C35" s="21" t="n">
        <v>0</v>
      </c>
      <c r="D35" s="24" t="n">
        <f aca="false">ROUND(ROUND(G34*(1+Assumptions!$B$22),0)*Assumptions!$B$13,0)</f>
        <v>1487</v>
      </c>
      <c r="E35" s="24" t="n">
        <f aca="false">ROUND(ROUND(G34*(1+Assumptions!$B$22),0)*Assumptions!$B$16,0)</f>
        <v>1027</v>
      </c>
      <c r="F35" s="24" t="n">
        <f aca="false">ROUND(ROUND(G34*(1+Assumptions!$B$22),0)*Assumptions!$B$19,0)</f>
        <v>189</v>
      </c>
      <c r="G35" s="22" t="n">
        <f aca="false">C35+D35+E35+F35</f>
        <v>2703</v>
      </c>
      <c r="H35" s="22" t="n">
        <f aca="false">MAX(D35-D34,0)</f>
        <v>110</v>
      </c>
      <c r="I35" s="22" t="n">
        <f aca="false">ROUND(C35*Assumptions!$B$23+D35*Assumptions!$B$24+E35*Assumptions!$B$25+F35*Assumptions!$B$26,0)</f>
        <v>166</v>
      </c>
      <c r="J35" s="23"/>
    </row>
    <row r="36" customFormat="false" ht="15" hidden="false" customHeight="false" outlineLevel="0" collapsed="false">
      <c r="A36" s="18" t="n">
        <v>35</v>
      </c>
      <c r="B36" s="18" t="s">
        <v>101</v>
      </c>
      <c r="C36" s="9" t="n">
        <v>0</v>
      </c>
      <c r="D36" s="25" t="n">
        <f aca="false">ROUND(ROUND(G35*(1+Assumptions!$B$22),0)*Assumptions!$B$13,0)</f>
        <v>1605</v>
      </c>
      <c r="E36" s="25" t="n">
        <f aca="false">ROUND(ROUND(G35*(1+Assumptions!$B$22),0)*Assumptions!$B$16,0)</f>
        <v>1109</v>
      </c>
      <c r="F36" s="25" t="n">
        <f aca="false">ROUND(ROUND(G35*(1+Assumptions!$B$22),0)*Assumptions!$B$19,0)</f>
        <v>204</v>
      </c>
      <c r="G36" s="19" t="n">
        <f aca="false">C36+D36+E36+F36</f>
        <v>2918</v>
      </c>
      <c r="H36" s="19" t="n">
        <f aca="false">MAX(D36-D35,0)</f>
        <v>118</v>
      </c>
      <c r="I36" s="19" t="n">
        <f aca="false">ROUND(C36*Assumptions!$B$23+D36*Assumptions!$B$24+E36*Assumptions!$B$25+F36*Assumptions!$B$26,0)</f>
        <v>179</v>
      </c>
    </row>
    <row r="37" customFormat="false" ht="15" hidden="false" customHeight="false" outlineLevel="0" collapsed="false">
      <c r="A37" s="20" t="n">
        <v>36</v>
      </c>
      <c r="B37" s="20" t="s">
        <v>101</v>
      </c>
      <c r="C37" s="21" t="n">
        <v>0</v>
      </c>
      <c r="D37" s="24" t="n">
        <f aca="false">ROUND(ROUND(G36*(1+Assumptions!$B$22),0)*Assumptions!$B$13,0)</f>
        <v>1733</v>
      </c>
      <c r="E37" s="24" t="n">
        <f aca="false">ROUND(ROUND(G36*(1+Assumptions!$B$22),0)*Assumptions!$B$16,0)</f>
        <v>1197</v>
      </c>
      <c r="F37" s="24" t="n">
        <f aca="false">ROUND(ROUND(G36*(1+Assumptions!$B$22),0)*Assumptions!$B$19,0)</f>
        <v>221</v>
      </c>
      <c r="G37" s="22" t="n">
        <f aca="false">C37+D37+E37+F37</f>
        <v>3151</v>
      </c>
      <c r="H37" s="22" t="n">
        <f aca="false">MAX(D37-D36,0)</f>
        <v>128</v>
      </c>
      <c r="I37" s="22" t="n">
        <f aca="false">ROUND(C37*Assumptions!$B$23+D37*Assumptions!$B$24+E37*Assumptions!$B$25+F37*Assumptions!$B$26,0)</f>
        <v>193</v>
      </c>
      <c r="J37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7" t="s">
        <v>106</v>
      </c>
      <c r="B1" s="17" t="s">
        <v>107</v>
      </c>
      <c r="C1" s="17" t="s">
        <v>116</v>
      </c>
      <c r="D1" s="17" t="s">
        <v>117</v>
      </c>
      <c r="E1" s="17" t="s">
        <v>118</v>
      </c>
      <c r="F1" s="17" t="s">
        <v>119</v>
      </c>
      <c r="G1" s="17" t="s">
        <v>120</v>
      </c>
      <c r="H1" s="17" t="s">
        <v>121</v>
      </c>
      <c r="I1" s="17" t="s">
        <v>122</v>
      </c>
    </row>
    <row r="2" customFormat="false" ht="15" hidden="false" customHeight="false" outlineLevel="0" collapsed="false">
      <c r="A2" s="18" t="n">
        <v>1</v>
      </c>
      <c r="B2" s="18" t="s">
        <v>99</v>
      </c>
      <c r="C2" s="26" t="n">
        <f aca="false">'User Growth'!C2*Assumptions!$B$29</f>
        <v>2980</v>
      </c>
      <c r="D2" s="26" t="n">
        <f aca="false">'User Growth'!E2*Assumptions!$B$30</f>
        <v>0</v>
      </c>
      <c r="E2" s="26" t="n">
        <f aca="false">'User Growth'!F2*Assumptions!$B$31</f>
        <v>0</v>
      </c>
      <c r="F2" s="14" t="n">
        <f aca="false">C2+D2+E2</f>
        <v>2980</v>
      </c>
      <c r="G2" s="14" t="n">
        <f aca="false">F2*Assumptions!$B$65</f>
        <v>56.62</v>
      </c>
      <c r="H2" s="14" t="n">
        <f aca="false">F2-G2</f>
        <v>2923.38</v>
      </c>
      <c r="I2" s="14" t="n">
        <f aca="false">H2</f>
        <v>2923.38</v>
      </c>
    </row>
    <row r="3" customFormat="false" ht="15" hidden="false" customHeight="false" outlineLevel="0" collapsed="false">
      <c r="A3" s="20" t="n">
        <v>2</v>
      </c>
      <c r="B3" s="20" t="s">
        <v>99</v>
      </c>
      <c r="C3" s="27" t="n">
        <f aca="false">'User Growth'!C3*Assumptions!$B$29</f>
        <v>5960</v>
      </c>
      <c r="D3" s="27" t="n">
        <f aca="false">'User Growth'!E3*Assumptions!$B$30</f>
        <v>0</v>
      </c>
      <c r="E3" s="27" t="n">
        <f aca="false">'User Growth'!F3*Assumptions!$B$31</f>
        <v>0</v>
      </c>
      <c r="F3" s="28" t="n">
        <f aca="false">C3+D3+E3</f>
        <v>5960</v>
      </c>
      <c r="G3" s="28" t="n">
        <f aca="false">F3*Assumptions!$B$65</f>
        <v>113.24</v>
      </c>
      <c r="H3" s="28" t="n">
        <f aca="false">F3-G3</f>
        <v>5846.76</v>
      </c>
      <c r="I3" s="28" t="n">
        <f aca="false">I2+H3</f>
        <v>8770.14</v>
      </c>
    </row>
    <row r="4" customFormat="false" ht="15" hidden="false" customHeight="false" outlineLevel="0" collapsed="false">
      <c r="A4" s="18" t="n">
        <v>3</v>
      </c>
      <c r="B4" s="18" t="s">
        <v>99</v>
      </c>
      <c r="C4" s="26" t="n">
        <f aca="false">'User Growth'!C4*Assumptions!$B$29</f>
        <v>8940</v>
      </c>
      <c r="D4" s="26" t="n">
        <f aca="false">'User Growth'!E4*Assumptions!$B$30</f>
        <v>0</v>
      </c>
      <c r="E4" s="26" t="n">
        <f aca="false">'User Growth'!F4*Assumptions!$B$31</f>
        <v>0</v>
      </c>
      <c r="F4" s="14" t="n">
        <f aca="false">C4+D4+E4</f>
        <v>8940</v>
      </c>
      <c r="G4" s="14" t="n">
        <f aca="false">F4*Assumptions!$B$65</f>
        <v>169.86</v>
      </c>
      <c r="H4" s="14" t="n">
        <f aca="false">F4-G4</f>
        <v>8770.14</v>
      </c>
      <c r="I4" s="14" t="n">
        <f aca="false">I3+H4</f>
        <v>17540.28</v>
      </c>
    </row>
    <row r="5" customFormat="false" ht="15" hidden="false" customHeight="false" outlineLevel="0" collapsed="false">
      <c r="A5" s="20" t="n">
        <v>4</v>
      </c>
      <c r="B5" s="20" t="s">
        <v>99</v>
      </c>
      <c r="C5" s="27" t="n">
        <f aca="false">'User Growth'!C5*Assumptions!$B$29</f>
        <v>11920</v>
      </c>
      <c r="D5" s="27" t="n">
        <f aca="false">'User Growth'!E5*Assumptions!$B$30</f>
        <v>0</v>
      </c>
      <c r="E5" s="27" t="n">
        <f aca="false">'User Growth'!F5*Assumptions!$B$31</f>
        <v>0</v>
      </c>
      <c r="F5" s="28" t="n">
        <f aca="false">C5+D5+E5</f>
        <v>11920</v>
      </c>
      <c r="G5" s="28" t="n">
        <f aca="false">F5*Assumptions!$B$65</f>
        <v>226.48</v>
      </c>
      <c r="H5" s="28" t="n">
        <f aca="false">F5-G5</f>
        <v>11693.52</v>
      </c>
      <c r="I5" s="28" t="n">
        <f aca="false">I4+H5</f>
        <v>29233.8</v>
      </c>
    </row>
    <row r="6" customFormat="false" ht="15" hidden="false" customHeight="false" outlineLevel="0" collapsed="false">
      <c r="A6" s="18" t="n">
        <v>5</v>
      </c>
      <c r="B6" s="18" t="s">
        <v>99</v>
      </c>
      <c r="C6" s="26" t="n">
        <f aca="false">'User Growth'!C6*Assumptions!$B$29</f>
        <v>0</v>
      </c>
      <c r="D6" s="26" t="n">
        <f aca="false">'User Growth'!E6*Assumptions!$B$30</f>
        <v>17940</v>
      </c>
      <c r="E6" s="26" t="n">
        <f aca="false">'User Growth'!F6*Assumptions!$B$31</f>
        <v>0</v>
      </c>
      <c r="F6" s="14" t="n">
        <f aca="false">C6+D6+E6</f>
        <v>17940</v>
      </c>
      <c r="G6" s="14" t="n">
        <f aca="false">F6*Assumptions!$B$65</f>
        <v>340.86</v>
      </c>
      <c r="H6" s="14" t="n">
        <f aca="false">F6-G6</f>
        <v>17599.14</v>
      </c>
      <c r="I6" s="14" t="n">
        <f aca="false">I5+H6</f>
        <v>46832.94</v>
      </c>
    </row>
    <row r="7" customFormat="false" ht="15" hidden="false" customHeight="false" outlineLevel="0" collapsed="false">
      <c r="A7" s="20" t="n">
        <v>6</v>
      </c>
      <c r="B7" s="20" t="s">
        <v>99</v>
      </c>
      <c r="C7" s="27" t="n">
        <f aca="false">'User Growth'!C7*Assumptions!$B$29</f>
        <v>0</v>
      </c>
      <c r="D7" s="27" t="n">
        <f aca="false">'User Growth'!E7*Assumptions!$B$30</f>
        <v>20631</v>
      </c>
      <c r="E7" s="27" t="n">
        <f aca="false">'User Growth'!F7*Assumptions!$B$31</f>
        <v>0</v>
      </c>
      <c r="F7" s="28" t="n">
        <f aca="false">C7+D7+E7</f>
        <v>20631</v>
      </c>
      <c r="G7" s="28" t="n">
        <f aca="false">F7*Assumptions!$B$65</f>
        <v>391.989</v>
      </c>
      <c r="H7" s="28" t="n">
        <f aca="false">F7-G7</f>
        <v>20239.011</v>
      </c>
      <c r="I7" s="28" t="n">
        <f aca="false">I6+H7</f>
        <v>67071.951</v>
      </c>
    </row>
    <row r="8" customFormat="false" ht="15" hidden="false" customHeight="false" outlineLevel="0" collapsed="false">
      <c r="A8" s="18" t="n">
        <v>7</v>
      </c>
      <c r="B8" s="18" t="s">
        <v>99</v>
      </c>
      <c r="C8" s="26" t="n">
        <f aca="false">'User Growth'!C8*Assumptions!$B$29</f>
        <v>0</v>
      </c>
      <c r="D8" s="26" t="n">
        <f aca="false">'User Growth'!E8*Assumptions!$B$30</f>
        <v>23920</v>
      </c>
      <c r="E8" s="26" t="n">
        <f aca="false">'User Growth'!F8*Assumptions!$B$31</f>
        <v>0</v>
      </c>
      <c r="F8" s="14" t="n">
        <f aca="false">C8+D8+E8</f>
        <v>23920</v>
      </c>
      <c r="G8" s="14" t="n">
        <f aca="false">F8*Assumptions!$B$65</f>
        <v>454.48</v>
      </c>
      <c r="H8" s="14" t="n">
        <f aca="false">F8-G8</f>
        <v>23465.52</v>
      </c>
      <c r="I8" s="14" t="n">
        <f aca="false">I7+H8</f>
        <v>90537.471</v>
      </c>
    </row>
    <row r="9" customFormat="false" ht="15" hidden="false" customHeight="false" outlineLevel="0" collapsed="false">
      <c r="A9" s="20" t="n">
        <v>8</v>
      </c>
      <c r="B9" s="20" t="s">
        <v>99</v>
      </c>
      <c r="C9" s="27" t="n">
        <f aca="false">'User Growth'!C9*Assumptions!$B$29</f>
        <v>0</v>
      </c>
      <c r="D9" s="27" t="n">
        <f aca="false">'User Growth'!E9*Assumptions!$B$30</f>
        <v>27508</v>
      </c>
      <c r="E9" s="27" t="n">
        <f aca="false">'User Growth'!F9*Assumptions!$B$31</f>
        <v>0</v>
      </c>
      <c r="F9" s="28" t="n">
        <f aca="false">C9+D9+E9</f>
        <v>27508</v>
      </c>
      <c r="G9" s="28" t="n">
        <f aca="false">F9*Assumptions!$B$65</f>
        <v>522.652</v>
      </c>
      <c r="H9" s="28" t="n">
        <f aca="false">F9-G9</f>
        <v>26985.348</v>
      </c>
      <c r="I9" s="28" t="n">
        <f aca="false">I8+H9</f>
        <v>117522.819</v>
      </c>
    </row>
    <row r="10" customFormat="false" ht="15" hidden="false" customHeight="false" outlineLevel="0" collapsed="false">
      <c r="A10" s="18" t="n">
        <v>9</v>
      </c>
      <c r="B10" s="18" t="s">
        <v>99</v>
      </c>
      <c r="C10" s="26" t="n">
        <f aca="false">'User Growth'!C10*Assumptions!$B$29</f>
        <v>0</v>
      </c>
      <c r="D10" s="26" t="n">
        <f aca="false">'User Growth'!E10*Assumptions!$B$30</f>
        <v>31395</v>
      </c>
      <c r="E10" s="26" t="n">
        <f aca="false">'User Growth'!F10*Assumptions!$B$31</f>
        <v>0</v>
      </c>
      <c r="F10" s="14" t="n">
        <f aca="false">C10+D10+E10</f>
        <v>31395</v>
      </c>
      <c r="G10" s="14" t="n">
        <f aca="false">F10*Assumptions!$B$65</f>
        <v>596.505</v>
      </c>
      <c r="H10" s="14" t="n">
        <f aca="false">F10-G10</f>
        <v>30798.495</v>
      </c>
      <c r="I10" s="14" t="n">
        <f aca="false">I9+H10</f>
        <v>148321.314</v>
      </c>
    </row>
    <row r="11" customFormat="false" ht="15" hidden="false" customHeight="false" outlineLevel="0" collapsed="false">
      <c r="A11" s="20" t="n">
        <v>10</v>
      </c>
      <c r="B11" s="20" t="s">
        <v>99</v>
      </c>
      <c r="C11" s="27" t="n">
        <f aca="false">'User Growth'!C11*Assumptions!$B$29</f>
        <v>0</v>
      </c>
      <c r="D11" s="27" t="n">
        <f aca="false">'User Growth'!E11*Assumptions!$B$30</f>
        <v>36179</v>
      </c>
      <c r="E11" s="27" t="n">
        <f aca="false">'User Growth'!F11*Assumptions!$B$31</f>
        <v>0</v>
      </c>
      <c r="F11" s="28" t="n">
        <f aca="false">C11+D11+E11</f>
        <v>36179</v>
      </c>
      <c r="G11" s="28" t="n">
        <f aca="false">F11*Assumptions!$B$65</f>
        <v>687.401</v>
      </c>
      <c r="H11" s="28" t="n">
        <f aca="false">F11-G11</f>
        <v>35491.599</v>
      </c>
      <c r="I11" s="28" t="n">
        <f aca="false">I10+H11</f>
        <v>183812.913</v>
      </c>
    </row>
    <row r="12" customFormat="false" ht="15" hidden="false" customHeight="false" outlineLevel="0" collapsed="false">
      <c r="A12" s="18" t="n">
        <v>11</v>
      </c>
      <c r="B12" s="18" t="s">
        <v>99</v>
      </c>
      <c r="C12" s="26" t="n">
        <f aca="false">'User Growth'!C12*Assumptions!$B$29</f>
        <v>0</v>
      </c>
      <c r="D12" s="26" t="n">
        <f aca="false">'User Growth'!E12*Assumptions!$B$30</f>
        <v>41561</v>
      </c>
      <c r="E12" s="26" t="n">
        <f aca="false">'User Growth'!F12*Assumptions!$B$31</f>
        <v>0</v>
      </c>
      <c r="F12" s="14" t="n">
        <f aca="false">C12+D12+E12</f>
        <v>41561</v>
      </c>
      <c r="G12" s="14" t="n">
        <f aca="false">F12*Assumptions!$B$65</f>
        <v>789.659</v>
      </c>
      <c r="H12" s="14" t="n">
        <f aca="false">F12-G12</f>
        <v>40771.341</v>
      </c>
      <c r="I12" s="14" t="n">
        <f aca="false">I11+H12</f>
        <v>224584.254</v>
      </c>
    </row>
    <row r="13" customFormat="false" ht="15" hidden="false" customHeight="false" outlineLevel="0" collapsed="false">
      <c r="A13" s="20" t="n">
        <v>12</v>
      </c>
      <c r="B13" s="20" t="s">
        <v>99</v>
      </c>
      <c r="C13" s="27" t="n">
        <f aca="false">'User Growth'!C13*Assumptions!$B$29</f>
        <v>0</v>
      </c>
      <c r="D13" s="27" t="n">
        <f aca="false">'User Growth'!E13*Assumptions!$B$30</f>
        <v>47840</v>
      </c>
      <c r="E13" s="27" t="n">
        <f aca="false">'User Growth'!F13*Assumptions!$B$31</f>
        <v>0</v>
      </c>
      <c r="F13" s="28" t="n">
        <f aca="false">C13+D13+E13</f>
        <v>47840</v>
      </c>
      <c r="G13" s="28" t="n">
        <f aca="false">F13*Assumptions!$B$65</f>
        <v>908.96</v>
      </c>
      <c r="H13" s="28" t="n">
        <f aca="false">F13-G13</f>
        <v>46931.04</v>
      </c>
      <c r="I13" s="28" t="n">
        <f aca="false">I12+H13</f>
        <v>271515.294</v>
      </c>
    </row>
    <row r="14" customFormat="false" ht="15" hidden="false" customHeight="false" outlineLevel="0" collapsed="false">
      <c r="A14" s="18" t="n">
        <v>13</v>
      </c>
      <c r="B14" s="18" t="s">
        <v>100</v>
      </c>
      <c r="C14" s="26" t="n">
        <f aca="false">'User Growth'!C14*Assumptions!$B$29</f>
        <v>0</v>
      </c>
      <c r="D14" s="26" t="n">
        <f aca="false">'User Growth'!E14*Assumptions!$B$30</f>
        <v>49933</v>
      </c>
      <c r="E14" s="26" t="n">
        <f aca="false">'User Growth'!F14*Assumptions!$B$31</f>
        <v>24769</v>
      </c>
      <c r="F14" s="14" t="n">
        <f aca="false">C14+D14+E14</f>
        <v>74702</v>
      </c>
      <c r="G14" s="14" t="n">
        <f aca="false">F14*Assumptions!$B$65</f>
        <v>1419.338</v>
      </c>
      <c r="H14" s="14" t="n">
        <f aca="false">F14-G14</f>
        <v>73282.662</v>
      </c>
      <c r="I14" s="14" t="n">
        <f aca="false">I13+H14</f>
        <v>344797.956</v>
      </c>
    </row>
    <row r="15" customFormat="false" ht="15" hidden="false" customHeight="false" outlineLevel="0" collapsed="false">
      <c r="A15" s="20" t="n">
        <v>14</v>
      </c>
      <c r="B15" s="20" t="s">
        <v>100</v>
      </c>
      <c r="C15" s="27" t="n">
        <f aca="false">'User Growth'!C15*Assumptions!$B$29</f>
        <v>0</v>
      </c>
      <c r="D15" s="27" t="n">
        <f aca="false">'User Growth'!E15*Assumptions!$B$30</f>
        <v>55016</v>
      </c>
      <c r="E15" s="27" t="n">
        <f aca="false">'User Growth'!F15*Assumptions!$B$31</f>
        <v>27166</v>
      </c>
      <c r="F15" s="28" t="n">
        <f aca="false">C15+D15+E15</f>
        <v>82182</v>
      </c>
      <c r="G15" s="28" t="n">
        <f aca="false">F15*Assumptions!$B$65</f>
        <v>1561.458</v>
      </c>
      <c r="H15" s="28" t="n">
        <f aca="false">F15-G15</f>
        <v>80620.542</v>
      </c>
      <c r="I15" s="28" t="n">
        <f aca="false">I14+H15</f>
        <v>425418.498</v>
      </c>
    </row>
    <row r="16" customFormat="false" ht="15" hidden="false" customHeight="false" outlineLevel="0" collapsed="false">
      <c r="A16" s="18" t="n">
        <v>15</v>
      </c>
      <c r="B16" s="18" t="s">
        <v>100</v>
      </c>
      <c r="C16" s="26" t="n">
        <f aca="false">'User Growth'!C16*Assumptions!$B$29</f>
        <v>0</v>
      </c>
      <c r="D16" s="26" t="n">
        <f aca="false">'User Growth'!E16*Assumptions!$B$30</f>
        <v>60398</v>
      </c>
      <c r="E16" s="26" t="n">
        <f aca="false">'User Growth'!F16*Assumptions!$B$31</f>
        <v>29563</v>
      </c>
      <c r="F16" s="14" t="n">
        <f aca="false">C16+D16+E16</f>
        <v>89961</v>
      </c>
      <c r="G16" s="14" t="n">
        <f aca="false">F16*Assumptions!$B$65</f>
        <v>1709.259</v>
      </c>
      <c r="H16" s="14" t="n">
        <f aca="false">F16-G16</f>
        <v>88251.741</v>
      </c>
      <c r="I16" s="14" t="n">
        <f aca="false">I15+H16</f>
        <v>513670.239</v>
      </c>
    </row>
    <row r="17" customFormat="false" ht="15" hidden="false" customHeight="false" outlineLevel="0" collapsed="false">
      <c r="A17" s="20" t="n">
        <v>16</v>
      </c>
      <c r="B17" s="20" t="s">
        <v>100</v>
      </c>
      <c r="C17" s="27" t="n">
        <f aca="false">'User Growth'!C17*Assumptions!$B$29</f>
        <v>0</v>
      </c>
      <c r="D17" s="27" t="n">
        <f aca="false">'User Growth'!E17*Assumptions!$B$30</f>
        <v>66378</v>
      </c>
      <c r="E17" s="27" t="n">
        <f aca="false">'User Growth'!F17*Assumptions!$B$31</f>
        <v>32759</v>
      </c>
      <c r="F17" s="28" t="n">
        <f aca="false">C17+D17+E17</f>
        <v>99137</v>
      </c>
      <c r="G17" s="28" t="n">
        <f aca="false">F17*Assumptions!$B$65</f>
        <v>1883.603</v>
      </c>
      <c r="H17" s="28" t="n">
        <f aca="false">F17-G17</f>
        <v>97253.397</v>
      </c>
      <c r="I17" s="28" t="n">
        <f aca="false">I16+H17</f>
        <v>610923.636</v>
      </c>
    </row>
    <row r="18" customFormat="false" ht="15" hidden="false" customHeight="false" outlineLevel="0" collapsed="false">
      <c r="A18" s="18" t="n">
        <v>17</v>
      </c>
      <c r="B18" s="18" t="s">
        <v>100</v>
      </c>
      <c r="C18" s="26" t="n">
        <f aca="false">'User Growth'!C18*Assumptions!$B$29</f>
        <v>0</v>
      </c>
      <c r="D18" s="26" t="n">
        <f aca="false">'User Growth'!E18*Assumptions!$B$30</f>
        <v>73255</v>
      </c>
      <c r="E18" s="26" t="n">
        <f aca="false">'User Growth'!F18*Assumptions!$B$31</f>
        <v>35955</v>
      </c>
      <c r="F18" s="14" t="n">
        <f aca="false">C18+D18+E18</f>
        <v>109210</v>
      </c>
      <c r="G18" s="14" t="n">
        <f aca="false">F18*Assumptions!$B$65</f>
        <v>2074.99</v>
      </c>
      <c r="H18" s="14" t="n">
        <f aca="false">F18-G18</f>
        <v>107135.01</v>
      </c>
      <c r="I18" s="14" t="n">
        <f aca="false">I17+H18</f>
        <v>718058.646</v>
      </c>
    </row>
    <row r="19" customFormat="false" ht="15" hidden="false" customHeight="false" outlineLevel="0" collapsed="false">
      <c r="A19" s="20" t="n">
        <v>18</v>
      </c>
      <c r="B19" s="20" t="s">
        <v>100</v>
      </c>
      <c r="C19" s="27" t="n">
        <f aca="false">'User Growth'!C19*Assumptions!$B$29</f>
        <v>0</v>
      </c>
      <c r="D19" s="27" t="n">
        <f aca="false">'User Growth'!E19*Assumptions!$B$30</f>
        <v>80431</v>
      </c>
      <c r="E19" s="27" t="n">
        <f aca="false">'User Growth'!F19*Assumptions!$B$31</f>
        <v>39950</v>
      </c>
      <c r="F19" s="28" t="n">
        <f aca="false">C19+D19+E19</f>
        <v>120381</v>
      </c>
      <c r="G19" s="28" t="n">
        <f aca="false">F19*Assumptions!$B$65</f>
        <v>2287.239</v>
      </c>
      <c r="H19" s="28" t="n">
        <f aca="false">F19-G19</f>
        <v>118093.761</v>
      </c>
      <c r="I19" s="28" t="n">
        <f aca="false">I18+H19</f>
        <v>836152.407</v>
      </c>
    </row>
    <row r="20" customFormat="false" ht="15" hidden="false" customHeight="false" outlineLevel="0" collapsed="false">
      <c r="A20" s="18" t="n">
        <v>19</v>
      </c>
      <c r="B20" s="18" t="s">
        <v>100</v>
      </c>
      <c r="C20" s="26" t="n">
        <f aca="false">'User Growth'!C20*Assumptions!$B$29</f>
        <v>0</v>
      </c>
      <c r="D20" s="26" t="n">
        <f aca="false">'User Growth'!E20*Assumptions!$B$30</f>
        <v>88504</v>
      </c>
      <c r="E20" s="26" t="n">
        <f aca="false">'User Growth'!F20*Assumptions!$B$31</f>
        <v>43945</v>
      </c>
      <c r="F20" s="14" t="n">
        <f aca="false">C20+D20+E20</f>
        <v>132449</v>
      </c>
      <c r="G20" s="14" t="n">
        <f aca="false">F20*Assumptions!$B$65</f>
        <v>2516.531</v>
      </c>
      <c r="H20" s="14" t="n">
        <f aca="false">F20-G20</f>
        <v>129932.469</v>
      </c>
      <c r="I20" s="14" t="n">
        <f aca="false">I19+H20</f>
        <v>966084.876</v>
      </c>
    </row>
    <row r="21" customFormat="false" ht="15" hidden="false" customHeight="false" outlineLevel="0" collapsed="false">
      <c r="A21" s="20" t="n">
        <v>20</v>
      </c>
      <c r="B21" s="20" t="s">
        <v>100</v>
      </c>
      <c r="C21" s="27" t="n">
        <f aca="false">'User Growth'!C21*Assumptions!$B$29</f>
        <v>0</v>
      </c>
      <c r="D21" s="27" t="n">
        <f aca="false">'User Growth'!E21*Assumptions!$B$30</f>
        <v>97474</v>
      </c>
      <c r="E21" s="27" t="n">
        <f aca="false">'User Growth'!F21*Assumptions!$B$31</f>
        <v>47940</v>
      </c>
      <c r="F21" s="28" t="n">
        <f aca="false">C21+D21+E21</f>
        <v>145414</v>
      </c>
      <c r="G21" s="28" t="n">
        <f aca="false">F21*Assumptions!$B$65</f>
        <v>2762.866</v>
      </c>
      <c r="H21" s="28" t="n">
        <f aca="false">F21-G21</f>
        <v>142651.134</v>
      </c>
      <c r="I21" s="28" t="n">
        <f aca="false">I20+H21</f>
        <v>1108736.01</v>
      </c>
    </row>
    <row r="22" customFormat="false" ht="15" hidden="false" customHeight="false" outlineLevel="0" collapsed="false">
      <c r="A22" s="18" t="n">
        <v>21</v>
      </c>
      <c r="B22" s="18" t="s">
        <v>100</v>
      </c>
      <c r="C22" s="26" t="n">
        <f aca="false">'User Growth'!C22*Assumptions!$B$29</f>
        <v>0</v>
      </c>
      <c r="D22" s="26" t="n">
        <f aca="false">'User Growth'!E22*Assumptions!$B$30</f>
        <v>107042</v>
      </c>
      <c r="E22" s="26" t="n">
        <f aca="false">'User Growth'!F22*Assumptions!$B$31</f>
        <v>52734</v>
      </c>
      <c r="F22" s="14" t="n">
        <f aca="false">C22+D22+E22</f>
        <v>159776</v>
      </c>
      <c r="G22" s="14" t="n">
        <f aca="false">F22*Assumptions!$B$65</f>
        <v>3035.744</v>
      </c>
      <c r="H22" s="14" t="n">
        <f aca="false">F22-G22</f>
        <v>156740.256</v>
      </c>
      <c r="I22" s="14" t="n">
        <f aca="false">I21+H22</f>
        <v>1265476.266</v>
      </c>
    </row>
    <row r="23" customFormat="false" ht="15" hidden="false" customHeight="false" outlineLevel="0" collapsed="false">
      <c r="A23" s="20" t="n">
        <v>22</v>
      </c>
      <c r="B23" s="20" t="s">
        <v>100</v>
      </c>
      <c r="C23" s="27" t="n">
        <f aca="false">'User Growth'!C23*Assumptions!$B$29</f>
        <v>0</v>
      </c>
      <c r="D23" s="27" t="n">
        <f aca="false">'User Growth'!E23*Assumptions!$B$30</f>
        <v>117806</v>
      </c>
      <c r="E23" s="27" t="n">
        <f aca="false">'User Growth'!F23*Assumptions!$B$31</f>
        <v>58327</v>
      </c>
      <c r="F23" s="28" t="n">
        <f aca="false">C23+D23+E23</f>
        <v>176133</v>
      </c>
      <c r="G23" s="28" t="n">
        <f aca="false">F23*Assumptions!$B$65</f>
        <v>3346.527</v>
      </c>
      <c r="H23" s="28" t="n">
        <f aca="false">F23-G23</f>
        <v>172786.473</v>
      </c>
      <c r="I23" s="28" t="n">
        <f aca="false">I22+H23</f>
        <v>1438262.739</v>
      </c>
    </row>
    <row r="24" customFormat="false" ht="15" hidden="false" customHeight="false" outlineLevel="0" collapsed="false">
      <c r="A24" s="18" t="n">
        <v>23</v>
      </c>
      <c r="B24" s="18" t="s">
        <v>100</v>
      </c>
      <c r="C24" s="26" t="n">
        <f aca="false">'User Growth'!C24*Assumptions!$B$29</f>
        <v>0</v>
      </c>
      <c r="D24" s="26" t="n">
        <f aca="false">'User Growth'!E24*Assumptions!$B$30</f>
        <v>129766</v>
      </c>
      <c r="E24" s="26" t="n">
        <f aca="false">'User Growth'!F24*Assumptions!$B$31</f>
        <v>63920</v>
      </c>
      <c r="F24" s="14" t="n">
        <f aca="false">C24+D24+E24</f>
        <v>193686</v>
      </c>
      <c r="G24" s="14" t="n">
        <f aca="false">F24*Assumptions!$B$65</f>
        <v>3680.034</v>
      </c>
      <c r="H24" s="14" t="n">
        <f aca="false">F24-G24</f>
        <v>190005.966</v>
      </c>
      <c r="I24" s="14" t="n">
        <f aca="false">I23+H24</f>
        <v>1628268.705</v>
      </c>
    </row>
    <row r="25" customFormat="false" ht="15" hidden="false" customHeight="false" outlineLevel="0" collapsed="false">
      <c r="A25" s="20" t="n">
        <v>24</v>
      </c>
      <c r="B25" s="20" t="s">
        <v>100</v>
      </c>
      <c r="C25" s="27" t="n">
        <f aca="false">'User Growth'!C25*Assumptions!$B$29</f>
        <v>0</v>
      </c>
      <c r="D25" s="27" t="n">
        <f aca="false">'User Growth'!E25*Assumptions!$B$30</f>
        <v>142623</v>
      </c>
      <c r="E25" s="27" t="n">
        <f aca="false">'User Growth'!F25*Assumptions!$B$31</f>
        <v>70312</v>
      </c>
      <c r="F25" s="28" t="n">
        <f aca="false">C25+D25+E25</f>
        <v>212935</v>
      </c>
      <c r="G25" s="28" t="n">
        <f aca="false">F25*Assumptions!$B$65</f>
        <v>4045.765</v>
      </c>
      <c r="H25" s="28" t="n">
        <f aca="false">F25-G25</f>
        <v>208889.235</v>
      </c>
      <c r="I25" s="28" t="n">
        <f aca="false">I24+H25</f>
        <v>1837157.94</v>
      </c>
    </row>
    <row r="26" customFormat="false" ht="15" hidden="false" customHeight="false" outlineLevel="0" collapsed="false">
      <c r="A26" s="18" t="n">
        <v>25</v>
      </c>
      <c r="B26" s="18" t="s">
        <v>101</v>
      </c>
      <c r="C26" s="26" t="n">
        <f aca="false">'User Growth'!C26*Assumptions!$B$29</f>
        <v>0</v>
      </c>
      <c r="D26" s="26" t="n">
        <f aca="false">'User Growth'!E26*Assumptions!$B$30</f>
        <v>153985</v>
      </c>
      <c r="E26" s="26" t="n">
        <f aca="false">'User Growth'!F26*Assumptions!$B$31</f>
        <v>75905</v>
      </c>
      <c r="F26" s="14" t="n">
        <f aca="false">C26+D26+E26</f>
        <v>229890</v>
      </c>
      <c r="G26" s="14" t="n">
        <f aca="false">F26*Assumptions!$B$65</f>
        <v>4367.91</v>
      </c>
      <c r="H26" s="14" t="n">
        <f aca="false">F26-G26</f>
        <v>225522.09</v>
      </c>
      <c r="I26" s="14" t="n">
        <f aca="false">I25+H26</f>
        <v>2062680.03</v>
      </c>
    </row>
    <row r="27" customFormat="false" ht="15" hidden="false" customHeight="false" outlineLevel="0" collapsed="false">
      <c r="A27" s="20" t="n">
        <v>26</v>
      </c>
      <c r="B27" s="20" t="s">
        <v>101</v>
      </c>
      <c r="C27" s="27" t="n">
        <f aca="false">'User Growth'!C27*Assumptions!$B$29</f>
        <v>0</v>
      </c>
      <c r="D27" s="27" t="n">
        <f aca="false">'User Growth'!E27*Assumptions!$B$30</f>
        <v>166244</v>
      </c>
      <c r="E27" s="27" t="n">
        <f aca="false">'User Growth'!F27*Assumptions!$B$31</f>
        <v>81498</v>
      </c>
      <c r="F27" s="28" t="n">
        <f aca="false">C27+D27+E27</f>
        <v>247742</v>
      </c>
      <c r="G27" s="28" t="n">
        <f aca="false">F27*Assumptions!$B$65</f>
        <v>4707.098</v>
      </c>
      <c r="H27" s="28" t="n">
        <f aca="false">F27-G27</f>
        <v>243034.902</v>
      </c>
      <c r="I27" s="28" t="n">
        <f aca="false">I26+H27</f>
        <v>2305714.932</v>
      </c>
    </row>
    <row r="28" customFormat="false" ht="15" hidden="false" customHeight="false" outlineLevel="0" collapsed="false">
      <c r="A28" s="18" t="n">
        <v>27</v>
      </c>
      <c r="B28" s="18" t="s">
        <v>101</v>
      </c>
      <c r="C28" s="26" t="n">
        <f aca="false">'User Growth'!C28*Assumptions!$B$29</f>
        <v>0</v>
      </c>
      <c r="D28" s="26" t="n">
        <f aca="false">'User Growth'!E28*Assumptions!$B$30</f>
        <v>179400</v>
      </c>
      <c r="E28" s="26" t="n">
        <f aca="false">'User Growth'!F28*Assumptions!$B$31</f>
        <v>88689</v>
      </c>
      <c r="F28" s="14" t="n">
        <f aca="false">C28+D28+E28</f>
        <v>268089</v>
      </c>
      <c r="G28" s="14" t="n">
        <f aca="false">F28*Assumptions!$B$65</f>
        <v>5093.691</v>
      </c>
      <c r="H28" s="14" t="n">
        <f aca="false">F28-G28</f>
        <v>262995.309</v>
      </c>
      <c r="I28" s="14" t="n">
        <f aca="false">I27+H28</f>
        <v>2568710.241</v>
      </c>
    </row>
    <row r="29" customFormat="false" ht="15" hidden="false" customHeight="false" outlineLevel="0" collapsed="false">
      <c r="A29" s="20" t="n">
        <v>28</v>
      </c>
      <c r="B29" s="20" t="s">
        <v>101</v>
      </c>
      <c r="C29" s="27" t="n">
        <f aca="false">'User Growth'!C29*Assumptions!$B$29</f>
        <v>0</v>
      </c>
      <c r="D29" s="27" t="n">
        <f aca="false">'User Growth'!E29*Assumptions!$B$30</f>
        <v>193752</v>
      </c>
      <c r="E29" s="27" t="n">
        <f aca="false">'User Growth'!F29*Assumptions!$B$31</f>
        <v>95081</v>
      </c>
      <c r="F29" s="28" t="n">
        <f aca="false">C29+D29+E29</f>
        <v>288833</v>
      </c>
      <c r="G29" s="28" t="n">
        <f aca="false">F29*Assumptions!$B$65</f>
        <v>5487.827</v>
      </c>
      <c r="H29" s="28" t="n">
        <f aca="false">F29-G29</f>
        <v>283345.173</v>
      </c>
      <c r="I29" s="28" t="n">
        <f aca="false">I28+H29</f>
        <v>2852055.414</v>
      </c>
    </row>
    <row r="30" customFormat="false" ht="15" hidden="false" customHeight="false" outlineLevel="0" collapsed="false">
      <c r="A30" s="18" t="n">
        <v>29</v>
      </c>
      <c r="B30" s="18" t="s">
        <v>101</v>
      </c>
      <c r="C30" s="26" t="n">
        <f aca="false">'User Growth'!C30*Assumptions!$B$29</f>
        <v>0</v>
      </c>
      <c r="D30" s="26" t="n">
        <f aca="false">'User Growth'!E30*Assumptions!$B$30</f>
        <v>209300</v>
      </c>
      <c r="E30" s="26" t="n">
        <f aca="false">'User Growth'!F30*Assumptions!$B$31</f>
        <v>103071</v>
      </c>
      <c r="F30" s="14" t="n">
        <f aca="false">C30+D30+E30</f>
        <v>312371</v>
      </c>
      <c r="G30" s="14" t="n">
        <f aca="false">F30*Assumptions!$B$65</f>
        <v>5935.049</v>
      </c>
      <c r="H30" s="14" t="n">
        <f aca="false">F30-G30</f>
        <v>306435.951</v>
      </c>
      <c r="I30" s="14" t="n">
        <f aca="false">I29+H30</f>
        <v>3158491.365</v>
      </c>
    </row>
    <row r="31" customFormat="false" ht="15" hidden="false" customHeight="false" outlineLevel="0" collapsed="false">
      <c r="A31" s="20" t="n">
        <v>30</v>
      </c>
      <c r="B31" s="20" t="s">
        <v>101</v>
      </c>
      <c r="C31" s="27" t="n">
        <f aca="false">'User Growth'!C31*Assumptions!$B$29</f>
        <v>0</v>
      </c>
      <c r="D31" s="27" t="n">
        <f aca="false">'User Growth'!E31*Assumptions!$B$30</f>
        <v>226044</v>
      </c>
      <c r="E31" s="27" t="n">
        <f aca="false">'User Growth'!F31*Assumptions!$B$31</f>
        <v>111061</v>
      </c>
      <c r="F31" s="28" t="n">
        <f aca="false">C31+D31+E31</f>
        <v>337105</v>
      </c>
      <c r="G31" s="28" t="n">
        <f aca="false">F31*Assumptions!$B$65</f>
        <v>6404.995</v>
      </c>
      <c r="H31" s="28" t="n">
        <f aca="false">F31-G31</f>
        <v>330700.005</v>
      </c>
      <c r="I31" s="28" t="n">
        <f aca="false">I30+H31</f>
        <v>3489191.37</v>
      </c>
    </row>
    <row r="32" customFormat="false" ht="15" hidden="false" customHeight="false" outlineLevel="0" collapsed="false">
      <c r="A32" s="18" t="n">
        <v>31</v>
      </c>
      <c r="B32" s="18" t="s">
        <v>101</v>
      </c>
      <c r="C32" s="26" t="n">
        <f aca="false">'User Growth'!C32*Assumptions!$B$29</f>
        <v>0</v>
      </c>
      <c r="D32" s="26" t="n">
        <f aca="false">'User Growth'!E32*Assumptions!$B$30</f>
        <v>243984</v>
      </c>
      <c r="E32" s="26" t="n">
        <f aca="false">'User Growth'!F32*Assumptions!$B$31</f>
        <v>119850</v>
      </c>
      <c r="F32" s="14" t="n">
        <f aca="false">C32+D32+E32</f>
        <v>363834</v>
      </c>
      <c r="G32" s="14" t="n">
        <f aca="false">F32*Assumptions!$B$65</f>
        <v>6912.846</v>
      </c>
      <c r="H32" s="14" t="n">
        <f aca="false">F32-G32</f>
        <v>356921.154</v>
      </c>
      <c r="I32" s="14" t="n">
        <f aca="false">I31+H32</f>
        <v>3846112.524</v>
      </c>
    </row>
    <row r="33" customFormat="false" ht="15" hidden="false" customHeight="false" outlineLevel="0" collapsed="false">
      <c r="A33" s="20" t="n">
        <v>32</v>
      </c>
      <c r="B33" s="20" t="s">
        <v>101</v>
      </c>
      <c r="C33" s="27" t="n">
        <f aca="false">'User Growth'!C33*Assumptions!$B$29</f>
        <v>0</v>
      </c>
      <c r="D33" s="27" t="n">
        <f aca="false">'User Growth'!E33*Assumptions!$B$30</f>
        <v>263419</v>
      </c>
      <c r="E33" s="27" t="n">
        <f aca="false">'User Growth'!F33*Assumptions!$B$31</f>
        <v>129438</v>
      </c>
      <c r="F33" s="28" t="n">
        <f aca="false">C33+D33+E33</f>
        <v>392857</v>
      </c>
      <c r="G33" s="28" t="n">
        <f aca="false">F33*Assumptions!$B$65</f>
        <v>7464.283</v>
      </c>
      <c r="H33" s="28" t="n">
        <f aca="false">F33-G33</f>
        <v>385392.717</v>
      </c>
      <c r="I33" s="28" t="n">
        <f aca="false">I32+H33</f>
        <v>4231505.241</v>
      </c>
    </row>
    <row r="34" customFormat="false" ht="15" hidden="false" customHeight="false" outlineLevel="0" collapsed="false">
      <c r="A34" s="18" t="n">
        <v>33</v>
      </c>
      <c r="B34" s="18" t="s">
        <v>101</v>
      </c>
      <c r="C34" s="26" t="n">
        <f aca="false">'User Growth'!C34*Assumptions!$B$29</f>
        <v>0</v>
      </c>
      <c r="D34" s="26" t="n">
        <f aca="false">'User Growth'!E34*Assumptions!$B$30</f>
        <v>284349</v>
      </c>
      <c r="E34" s="26" t="n">
        <f aca="false">'User Growth'!F34*Assumptions!$B$31</f>
        <v>139825</v>
      </c>
      <c r="F34" s="14" t="n">
        <f aca="false">C34+D34+E34</f>
        <v>424174</v>
      </c>
      <c r="G34" s="14" t="n">
        <f aca="false">F34*Assumptions!$B$65</f>
        <v>8059.306</v>
      </c>
      <c r="H34" s="14" t="n">
        <f aca="false">F34-G34</f>
        <v>416114.694</v>
      </c>
      <c r="I34" s="14" t="n">
        <f aca="false">I33+H34</f>
        <v>4647619.935</v>
      </c>
    </row>
    <row r="35" customFormat="false" ht="15" hidden="false" customHeight="false" outlineLevel="0" collapsed="false">
      <c r="A35" s="20" t="n">
        <v>34</v>
      </c>
      <c r="B35" s="20" t="s">
        <v>101</v>
      </c>
      <c r="C35" s="27" t="n">
        <f aca="false">'User Growth'!C35*Assumptions!$B$29</f>
        <v>0</v>
      </c>
      <c r="D35" s="27" t="n">
        <f aca="false">'User Growth'!E35*Assumptions!$B$30</f>
        <v>307073</v>
      </c>
      <c r="E35" s="27" t="n">
        <f aca="false">'User Growth'!F35*Assumptions!$B$31</f>
        <v>151011</v>
      </c>
      <c r="F35" s="28" t="n">
        <f aca="false">C35+D35+E35</f>
        <v>458084</v>
      </c>
      <c r="G35" s="28" t="n">
        <f aca="false">F35*Assumptions!$B$65</f>
        <v>8703.596</v>
      </c>
      <c r="H35" s="28" t="n">
        <f aca="false">F35-G35</f>
        <v>449380.404</v>
      </c>
      <c r="I35" s="28" t="n">
        <f aca="false">I34+H35</f>
        <v>5097000.339</v>
      </c>
    </row>
    <row r="36" customFormat="false" ht="15" hidden="false" customHeight="false" outlineLevel="0" collapsed="false">
      <c r="A36" s="18" t="n">
        <v>35</v>
      </c>
      <c r="B36" s="18" t="s">
        <v>101</v>
      </c>
      <c r="C36" s="26" t="n">
        <f aca="false">'User Growth'!C36*Assumptions!$B$29</f>
        <v>0</v>
      </c>
      <c r="D36" s="26" t="n">
        <f aca="false">'User Growth'!E36*Assumptions!$B$30</f>
        <v>331591</v>
      </c>
      <c r="E36" s="26" t="n">
        <f aca="false">'User Growth'!F36*Assumptions!$B$31</f>
        <v>162996</v>
      </c>
      <c r="F36" s="14" t="n">
        <f aca="false">C36+D36+E36</f>
        <v>494587</v>
      </c>
      <c r="G36" s="14" t="n">
        <f aca="false">F36*Assumptions!$B$65</f>
        <v>9397.153</v>
      </c>
      <c r="H36" s="14" t="n">
        <f aca="false">F36-G36</f>
        <v>485189.847</v>
      </c>
      <c r="I36" s="14" t="n">
        <f aca="false">I35+H36</f>
        <v>5582190.186</v>
      </c>
    </row>
    <row r="37" customFormat="false" ht="15" hidden="false" customHeight="false" outlineLevel="0" collapsed="false">
      <c r="A37" s="20" t="n">
        <v>36</v>
      </c>
      <c r="B37" s="20" t="s">
        <v>101</v>
      </c>
      <c r="C37" s="27" t="n">
        <f aca="false">'User Growth'!C37*Assumptions!$B$29</f>
        <v>0</v>
      </c>
      <c r="D37" s="27" t="n">
        <f aca="false">'User Growth'!E37*Assumptions!$B$30</f>
        <v>357903</v>
      </c>
      <c r="E37" s="27" t="n">
        <f aca="false">'User Growth'!F37*Assumptions!$B$31</f>
        <v>176579</v>
      </c>
      <c r="F37" s="28" t="n">
        <f aca="false">C37+D37+E37</f>
        <v>534482</v>
      </c>
      <c r="G37" s="28" t="n">
        <f aca="false">F37*Assumptions!$B$65</f>
        <v>10155.158</v>
      </c>
      <c r="H37" s="28" t="n">
        <f aca="false">F37-G37</f>
        <v>524326.842</v>
      </c>
      <c r="I37" s="28" t="n">
        <f aca="false">I36+H37</f>
        <v>6106517.028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7" min="6" style="0" width="8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7" t="s">
        <v>106</v>
      </c>
      <c r="B1" s="17" t="s">
        <v>107</v>
      </c>
      <c r="C1" s="17" t="s">
        <v>123</v>
      </c>
      <c r="D1" s="17" t="s">
        <v>124</v>
      </c>
      <c r="E1" s="17" t="s">
        <v>125</v>
      </c>
      <c r="F1" s="17" t="s">
        <v>126</v>
      </c>
      <c r="G1" s="17" t="s">
        <v>127</v>
      </c>
      <c r="H1" s="17" t="s">
        <v>128</v>
      </c>
      <c r="I1" s="17" t="s">
        <v>129</v>
      </c>
      <c r="J1" s="17" t="s">
        <v>130</v>
      </c>
      <c r="K1" s="17" t="s">
        <v>131</v>
      </c>
      <c r="L1" s="17" t="s">
        <v>132</v>
      </c>
      <c r="M1" s="17" t="s">
        <v>133</v>
      </c>
      <c r="N1" s="17" t="s">
        <v>134</v>
      </c>
    </row>
    <row r="2" customFormat="false" ht="15" hidden="false" customHeight="false" outlineLevel="0" collapsed="false">
      <c r="A2" s="18" t="n">
        <v>1</v>
      </c>
      <c r="B2" s="18" t="s">
        <v>99</v>
      </c>
      <c r="C2" s="25" t="n">
        <f aca="false">'User Growth'!D2</f>
        <v>0</v>
      </c>
      <c r="D2" s="25" t="n">
        <f aca="false">'User Growth'!E2</f>
        <v>0</v>
      </c>
      <c r="E2" s="25" t="n">
        <f aca="false">'User Growth'!F2</f>
        <v>0</v>
      </c>
      <c r="F2" s="29" t="n">
        <f aca="false">IF(B2="Y1",Assumptions!$B$53,IF(B2="Y2",Assumptions!$B$54,Assumptions!$B$55))</f>
        <v>1</v>
      </c>
      <c r="G2" s="13" t="n">
        <f aca="false">IF(B2="Y1",Assumptions!$B$50,IF(B2="Y2",Assumptions!$B$51,Assumptions!$B$52))</f>
        <v>0</v>
      </c>
      <c r="H2" s="14" t="n">
        <f aca="false">((IF(B2="Y1",Assumptions!$B$35,IF(B2="Y2",Assumptions!$B$36,Assumptions!$B$37)))/1000000*Assumptions!$B$39+Assumptions!$B$38/1000000*Assumptions!$B$40)*F2*Assumptions!$B$41*Assumptions!$B$4</f>
        <v>20.592</v>
      </c>
      <c r="I2" s="14" t="n">
        <f aca="false">((IF(B2="Y1",Assumptions!$B$42,IF(B2="Y2",Assumptions!$B$43,Assumptions!$B$44))*(1-G2*0.9)/1000000*Assumptions!$B$46+Assumptions!$B$45/1000000*Assumptions!$B$47)*Assumptions!$B$48*(1-Assumptions!$B$49)+((IF(B2="Y1",Assumptions!$B$35,IF(B2="Y2",Assumptions!$B$36,Assumptions!$B$37)))/1000000*Assumptions!$B$39+Assumptions!$B$38/1000000*Assumptions!$B$40)*Assumptions!$B$48*Assumptions!$B$49+Assumptions!$B$56*Assumptions!$B$57)*F2*Assumptions!$B$4</f>
        <v>158.9016</v>
      </c>
      <c r="J2" s="14" t="n">
        <f aca="false">((IF(B2="Y1",Assumptions!$B$42,IF(B2="Y2",Assumptions!$B$43,Assumptions!$B$44))*(1-G2*0.9)/1000000*Assumptions!$B$46+Assumptions!$B$45/1000000*Assumptions!$B$47)*Assumptions!$B$48*(1-Assumptions!$B$49)+((IF(B2="Y1",Assumptions!$B$35,IF(B2="Y2",Assumptions!$B$36,Assumptions!$B$37)))/1000000*Assumptions!$B$39+Assumptions!$B$38/1000000*Assumptions!$B$40)*Assumptions!$B$48*Assumptions!$B$49+Assumptions!$B$56*Assumptions!$B$58)*F2*Assumptions!$B$4</f>
        <v>161.304</v>
      </c>
      <c r="K2" s="14" t="n">
        <f aca="false">C2*H2</f>
        <v>0</v>
      </c>
      <c r="L2" s="14" t="n">
        <f aca="false">D2*I2</f>
        <v>0</v>
      </c>
      <c r="M2" s="14" t="n">
        <f aca="false">E2*J2</f>
        <v>0</v>
      </c>
      <c r="N2" s="16" t="n">
        <f aca="false">K2+L2+M2</f>
        <v>0</v>
      </c>
    </row>
    <row r="3" customFormat="false" ht="15" hidden="false" customHeight="false" outlineLevel="0" collapsed="false">
      <c r="A3" s="20" t="n">
        <v>2</v>
      </c>
      <c r="B3" s="20" t="s">
        <v>99</v>
      </c>
      <c r="C3" s="24" t="n">
        <f aca="false">'User Growth'!D3</f>
        <v>0</v>
      </c>
      <c r="D3" s="24" t="n">
        <f aca="false">'User Growth'!E3</f>
        <v>0</v>
      </c>
      <c r="E3" s="24" t="n">
        <f aca="false">'User Growth'!F3</f>
        <v>0</v>
      </c>
      <c r="F3" s="30" t="n">
        <f aca="false">IF(B3="Y1",Assumptions!$B$53,IF(B3="Y2",Assumptions!$B$54,Assumptions!$B$55))</f>
        <v>1</v>
      </c>
      <c r="G3" s="31" t="n">
        <f aca="false">IF(B3="Y1",Assumptions!$B$50,IF(B3="Y2",Assumptions!$B$51,Assumptions!$B$52))</f>
        <v>0</v>
      </c>
      <c r="H3" s="28" t="n">
        <f aca="false">((IF(B3="Y1",Assumptions!$B$35,IF(B3="Y2",Assumptions!$B$36,Assumptions!$B$37)))/1000000*Assumptions!$B$39+Assumptions!$B$38/1000000*Assumptions!$B$40)*F3*Assumptions!$B$41*Assumptions!$B$4</f>
        <v>20.592</v>
      </c>
      <c r="I3" s="28" t="n">
        <f aca="false">((IF(B3="Y1",Assumptions!$B$42,IF(B3="Y2",Assumptions!$B$43,Assumptions!$B$44))*(1-G3*0.9)/1000000*Assumptions!$B$46+Assumptions!$B$45/1000000*Assumptions!$B$47)*Assumptions!$B$48*(1-Assumptions!$B$49)+((IF(B3="Y1",Assumptions!$B$35,IF(B3="Y2",Assumptions!$B$36,Assumptions!$B$37)))/1000000*Assumptions!$B$39+Assumptions!$B$38/1000000*Assumptions!$B$40)*Assumptions!$B$48*Assumptions!$B$49+Assumptions!$B$56*Assumptions!$B$57)*F3*Assumptions!$B$4</f>
        <v>158.9016</v>
      </c>
      <c r="J3" s="28" t="n">
        <f aca="false">((IF(B3="Y1",Assumptions!$B$42,IF(B3="Y2",Assumptions!$B$43,Assumptions!$B$44))*(1-G3*0.9)/1000000*Assumptions!$B$46+Assumptions!$B$45/1000000*Assumptions!$B$47)*Assumptions!$B$48*(1-Assumptions!$B$49)+((IF(B3="Y1",Assumptions!$B$35,IF(B3="Y2",Assumptions!$B$36,Assumptions!$B$37)))/1000000*Assumptions!$B$39+Assumptions!$B$38/1000000*Assumptions!$B$40)*Assumptions!$B$48*Assumptions!$B$49+Assumptions!$B$56*Assumptions!$B$58)*F3*Assumptions!$B$4</f>
        <v>161.304</v>
      </c>
      <c r="K3" s="28" t="n">
        <f aca="false">C3*H3</f>
        <v>0</v>
      </c>
      <c r="L3" s="28" t="n">
        <f aca="false">D3*I3</f>
        <v>0</v>
      </c>
      <c r="M3" s="28" t="n">
        <f aca="false">E3*J3</f>
        <v>0</v>
      </c>
      <c r="N3" s="32" t="n">
        <f aca="false">K3+L3+M3</f>
        <v>0</v>
      </c>
    </row>
    <row r="4" customFormat="false" ht="15" hidden="false" customHeight="false" outlineLevel="0" collapsed="false">
      <c r="A4" s="18" t="n">
        <v>3</v>
      </c>
      <c r="B4" s="18" t="s">
        <v>99</v>
      </c>
      <c r="C4" s="25" t="n">
        <f aca="false">'User Growth'!D4</f>
        <v>0</v>
      </c>
      <c r="D4" s="25" t="n">
        <f aca="false">'User Growth'!E4</f>
        <v>0</v>
      </c>
      <c r="E4" s="25" t="n">
        <f aca="false">'User Growth'!F4</f>
        <v>0</v>
      </c>
      <c r="F4" s="29" t="n">
        <f aca="false">IF(B4="Y1",Assumptions!$B$53,IF(B4="Y2",Assumptions!$B$54,Assumptions!$B$55))</f>
        <v>1</v>
      </c>
      <c r="G4" s="13" t="n">
        <f aca="false">IF(B4="Y1",Assumptions!$B$50,IF(B4="Y2",Assumptions!$B$51,Assumptions!$B$52))</f>
        <v>0</v>
      </c>
      <c r="H4" s="14" t="n">
        <f aca="false">((IF(B4="Y1",Assumptions!$B$35,IF(B4="Y2",Assumptions!$B$36,Assumptions!$B$37)))/1000000*Assumptions!$B$39+Assumptions!$B$38/1000000*Assumptions!$B$40)*F4*Assumptions!$B$41*Assumptions!$B$4</f>
        <v>20.592</v>
      </c>
      <c r="I4" s="14" t="n">
        <f aca="false">((IF(B4="Y1",Assumptions!$B$42,IF(B4="Y2",Assumptions!$B$43,Assumptions!$B$44))*(1-G4*0.9)/1000000*Assumptions!$B$46+Assumptions!$B$45/1000000*Assumptions!$B$47)*Assumptions!$B$48*(1-Assumptions!$B$49)+((IF(B4="Y1",Assumptions!$B$35,IF(B4="Y2",Assumptions!$B$36,Assumptions!$B$37)))/1000000*Assumptions!$B$39+Assumptions!$B$38/1000000*Assumptions!$B$40)*Assumptions!$B$48*Assumptions!$B$49+Assumptions!$B$56*Assumptions!$B$57)*F4*Assumptions!$B$4</f>
        <v>158.9016</v>
      </c>
      <c r="J4" s="14" t="n">
        <f aca="false">((IF(B4="Y1",Assumptions!$B$42,IF(B4="Y2",Assumptions!$B$43,Assumptions!$B$44))*(1-G4*0.9)/1000000*Assumptions!$B$46+Assumptions!$B$45/1000000*Assumptions!$B$47)*Assumptions!$B$48*(1-Assumptions!$B$49)+((IF(B4="Y1",Assumptions!$B$35,IF(B4="Y2",Assumptions!$B$36,Assumptions!$B$37)))/1000000*Assumptions!$B$39+Assumptions!$B$38/1000000*Assumptions!$B$40)*Assumptions!$B$48*Assumptions!$B$49+Assumptions!$B$56*Assumptions!$B$58)*F4*Assumptions!$B$4</f>
        <v>161.304</v>
      </c>
      <c r="K4" s="14" t="n">
        <f aca="false">C4*H4</f>
        <v>0</v>
      </c>
      <c r="L4" s="14" t="n">
        <f aca="false">D4*I4</f>
        <v>0</v>
      </c>
      <c r="M4" s="14" t="n">
        <f aca="false">E4*J4</f>
        <v>0</v>
      </c>
      <c r="N4" s="16" t="n">
        <f aca="false">K4+L4+M4</f>
        <v>0</v>
      </c>
    </row>
    <row r="5" customFormat="false" ht="15" hidden="false" customHeight="false" outlineLevel="0" collapsed="false">
      <c r="A5" s="20" t="n">
        <v>4</v>
      </c>
      <c r="B5" s="20" t="s">
        <v>99</v>
      </c>
      <c r="C5" s="24" t="n">
        <f aca="false">'User Growth'!D5</f>
        <v>0</v>
      </c>
      <c r="D5" s="24" t="n">
        <f aca="false">'User Growth'!E5</f>
        <v>0</v>
      </c>
      <c r="E5" s="24" t="n">
        <f aca="false">'User Growth'!F5</f>
        <v>0</v>
      </c>
      <c r="F5" s="30" t="n">
        <f aca="false">IF(B5="Y1",Assumptions!$B$53,IF(B5="Y2",Assumptions!$B$54,Assumptions!$B$55))</f>
        <v>1</v>
      </c>
      <c r="G5" s="31" t="n">
        <f aca="false">IF(B5="Y1",Assumptions!$B$50,IF(B5="Y2",Assumptions!$B$51,Assumptions!$B$52))</f>
        <v>0</v>
      </c>
      <c r="H5" s="28" t="n">
        <f aca="false">((IF(B5="Y1",Assumptions!$B$35,IF(B5="Y2",Assumptions!$B$36,Assumptions!$B$37)))/1000000*Assumptions!$B$39+Assumptions!$B$38/1000000*Assumptions!$B$40)*F5*Assumptions!$B$41*Assumptions!$B$4</f>
        <v>20.592</v>
      </c>
      <c r="I5" s="28" t="n">
        <f aca="false">((IF(B5="Y1",Assumptions!$B$42,IF(B5="Y2",Assumptions!$B$43,Assumptions!$B$44))*(1-G5*0.9)/1000000*Assumptions!$B$46+Assumptions!$B$45/1000000*Assumptions!$B$47)*Assumptions!$B$48*(1-Assumptions!$B$49)+((IF(B5="Y1",Assumptions!$B$35,IF(B5="Y2",Assumptions!$B$36,Assumptions!$B$37)))/1000000*Assumptions!$B$39+Assumptions!$B$38/1000000*Assumptions!$B$40)*Assumptions!$B$48*Assumptions!$B$49+Assumptions!$B$56*Assumptions!$B$57)*F5*Assumptions!$B$4</f>
        <v>158.9016</v>
      </c>
      <c r="J5" s="28" t="n">
        <f aca="false">((IF(B5="Y1",Assumptions!$B$42,IF(B5="Y2",Assumptions!$B$43,Assumptions!$B$44))*(1-G5*0.9)/1000000*Assumptions!$B$46+Assumptions!$B$45/1000000*Assumptions!$B$47)*Assumptions!$B$48*(1-Assumptions!$B$49)+((IF(B5="Y1",Assumptions!$B$35,IF(B5="Y2",Assumptions!$B$36,Assumptions!$B$37)))/1000000*Assumptions!$B$39+Assumptions!$B$38/1000000*Assumptions!$B$40)*Assumptions!$B$48*Assumptions!$B$49+Assumptions!$B$56*Assumptions!$B$58)*F5*Assumptions!$B$4</f>
        <v>161.304</v>
      </c>
      <c r="K5" s="28" t="n">
        <f aca="false">C5*H5</f>
        <v>0</v>
      </c>
      <c r="L5" s="28" t="n">
        <f aca="false">D5*I5</f>
        <v>0</v>
      </c>
      <c r="M5" s="28" t="n">
        <f aca="false">E5*J5</f>
        <v>0</v>
      </c>
      <c r="N5" s="32" t="n">
        <f aca="false">K5+L5+M5</f>
        <v>0</v>
      </c>
    </row>
    <row r="6" customFormat="false" ht="15" hidden="false" customHeight="false" outlineLevel="0" collapsed="false">
      <c r="A6" s="18" t="n">
        <v>5</v>
      </c>
      <c r="B6" s="18" t="s">
        <v>99</v>
      </c>
      <c r="C6" s="25" t="n">
        <f aca="false">'User Growth'!D6</f>
        <v>90</v>
      </c>
      <c r="D6" s="25" t="n">
        <f aca="false">'User Growth'!E6</f>
        <v>60</v>
      </c>
      <c r="E6" s="25" t="n">
        <f aca="false">'User Growth'!F6</f>
        <v>0</v>
      </c>
      <c r="F6" s="29" t="n">
        <f aca="false">IF(B6="Y1",Assumptions!$B$53,IF(B6="Y2",Assumptions!$B$54,Assumptions!$B$55))</f>
        <v>1</v>
      </c>
      <c r="G6" s="13" t="n">
        <f aca="false">IF(B6="Y1",Assumptions!$B$50,IF(B6="Y2",Assumptions!$B$51,Assumptions!$B$52))</f>
        <v>0</v>
      </c>
      <c r="H6" s="14" t="n">
        <f aca="false">((IF(B6="Y1",Assumptions!$B$35,IF(B6="Y2",Assumptions!$B$36,Assumptions!$B$37)))/1000000*Assumptions!$B$39+Assumptions!$B$38/1000000*Assumptions!$B$40)*F6*Assumptions!$B$41*Assumptions!$B$4</f>
        <v>20.592</v>
      </c>
      <c r="I6" s="14" t="n">
        <f aca="false">((IF(B6="Y1",Assumptions!$B$42,IF(B6="Y2",Assumptions!$B$43,Assumptions!$B$44))*(1-G6*0.9)/1000000*Assumptions!$B$46+Assumptions!$B$45/1000000*Assumptions!$B$47)*Assumptions!$B$48*(1-Assumptions!$B$49)+((IF(B6="Y1",Assumptions!$B$35,IF(B6="Y2",Assumptions!$B$36,Assumptions!$B$37)))/1000000*Assumptions!$B$39+Assumptions!$B$38/1000000*Assumptions!$B$40)*Assumptions!$B$48*Assumptions!$B$49+Assumptions!$B$56*Assumptions!$B$57)*F6*Assumptions!$B$4</f>
        <v>158.9016</v>
      </c>
      <c r="J6" s="14" t="n">
        <f aca="false">((IF(B6="Y1",Assumptions!$B$42,IF(B6="Y2",Assumptions!$B$43,Assumptions!$B$44))*(1-G6*0.9)/1000000*Assumptions!$B$46+Assumptions!$B$45/1000000*Assumptions!$B$47)*Assumptions!$B$48*(1-Assumptions!$B$49)+((IF(B6="Y1",Assumptions!$B$35,IF(B6="Y2",Assumptions!$B$36,Assumptions!$B$37)))/1000000*Assumptions!$B$39+Assumptions!$B$38/1000000*Assumptions!$B$40)*Assumptions!$B$48*Assumptions!$B$49+Assumptions!$B$56*Assumptions!$B$58)*F6*Assumptions!$B$4</f>
        <v>161.304</v>
      </c>
      <c r="K6" s="14" t="n">
        <f aca="false">C6*H6</f>
        <v>1853.28</v>
      </c>
      <c r="L6" s="14" t="n">
        <f aca="false">D6*I6</f>
        <v>9534.096</v>
      </c>
      <c r="M6" s="14" t="n">
        <f aca="false">E6*J6</f>
        <v>0</v>
      </c>
      <c r="N6" s="16" t="n">
        <f aca="false">K6+L6+M6</f>
        <v>11387.376</v>
      </c>
    </row>
    <row r="7" customFormat="false" ht="15" hidden="false" customHeight="false" outlineLevel="0" collapsed="false">
      <c r="A7" s="20" t="n">
        <v>6</v>
      </c>
      <c r="B7" s="20" t="s">
        <v>99</v>
      </c>
      <c r="C7" s="24" t="n">
        <f aca="false">'User Growth'!D7</f>
        <v>104</v>
      </c>
      <c r="D7" s="24" t="n">
        <f aca="false">'User Growth'!E7</f>
        <v>69</v>
      </c>
      <c r="E7" s="24" t="n">
        <f aca="false">'User Growth'!F7</f>
        <v>0</v>
      </c>
      <c r="F7" s="30" t="n">
        <f aca="false">IF(B7="Y1",Assumptions!$B$53,IF(B7="Y2",Assumptions!$B$54,Assumptions!$B$55))</f>
        <v>1</v>
      </c>
      <c r="G7" s="31" t="n">
        <f aca="false">IF(B7="Y1",Assumptions!$B$50,IF(B7="Y2",Assumptions!$B$51,Assumptions!$B$52))</f>
        <v>0</v>
      </c>
      <c r="H7" s="28" t="n">
        <f aca="false">((IF(B7="Y1",Assumptions!$B$35,IF(B7="Y2",Assumptions!$B$36,Assumptions!$B$37)))/1000000*Assumptions!$B$39+Assumptions!$B$38/1000000*Assumptions!$B$40)*F7*Assumptions!$B$41*Assumptions!$B$4</f>
        <v>20.592</v>
      </c>
      <c r="I7" s="28" t="n">
        <f aca="false">((IF(B7="Y1",Assumptions!$B$42,IF(B7="Y2",Assumptions!$B$43,Assumptions!$B$44))*(1-G7*0.9)/1000000*Assumptions!$B$46+Assumptions!$B$45/1000000*Assumptions!$B$47)*Assumptions!$B$48*(1-Assumptions!$B$49)+((IF(B7="Y1",Assumptions!$B$35,IF(B7="Y2",Assumptions!$B$36,Assumptions!$B$37)))/1000000*Assumptions!$B$39+Assumptions!$B$38/1000000*Assumptions!$B$40)*Assumptions!$B$48*Assumptions!$B$49+Assumptions!$B$56*Assumptions!$B$57)*F7*Assumptions!$B$4</f>
        <v>158.9016</v>
      </c>
      <c r="J7" s="28" t="n">
        <f aca="false">((IF(B7="Y1",Assumptions!$B$42,IF(B7="Y2",Assumptions!$B$43,Assumptions!$B$44))*(1-G7*0.9)/1000000*Assumptions!$B$46+Assumptions!$B$45/1000000*Assumptions!$B$47)*Assumptions!$B$48*(1-Assumptions!$B$49)+((IF(B7="Y1",Assumptions!$B$35,IF(B7="Y2",Assumptions!$B$36,Assumptions!$B$37)))/1000000*Assumptions!$B$39+Assumptions!$B$38/1000000*Assumptions!$B$40)*Assumptions!$B$48*Assumptions!$B$49+Assumptions!$B$56*Assumptions!$B$58)*F7*Assumptions!$B$4</f>
        <v>161.304</v>
      </c>
      <c r="K7" s="28" t="n">
        <f aca="false">C7*H7</f>
        <v>2141.568</v>
      </c>
      <c r="L7" s="28" t="n">
        <f aca="false">D7*I7</f>
        <v>10964.2104</v>
      </c>
      <c r="M7" s="28" t="n">
        <f aca="false">E7*J7</f>
        <v>0</v>
      </c>
      <c r="N7" s="32" t="n">
        <f aca="false">K7+L7+M7</f>
        <v>13105.7784</v>
      </c>
    </row>
    <row r="8" customFormat="false" ht="15" hidden="false" customHeight="false" outlineLevel="0" collapsed="false">
      <c r="A8" s="18" t="n">
        <v>7</v>
      </c>
      <c r="B8" s="18" t="s">
        <v>99</v>
      </c>
      <c r="C8" s="25" t="n">
        <f aca="false">'User Growth'!D8</f>
        <v>119</v>
      </c>
      <c r="D8" s="25" t="n">
        <f aca="false">'User Growth'!E8</f>
        <v>80</v>
      </c>
      <c r="E8" s="25" t="n">
        <f aca="false">'User Growth'!F8</f>
        <v>0</v>
      </c>
      <c r="F8" s="29" t="n">
        <f aca="false">IF(B8="Y1",Assumptions!$B$53,IF(B8="Y2",Assumptions!$B$54,Assumptions!$B$55))</f>
        <v>1</v>
      </c>
      <c r="G8" s="13" t="n">
        <f aca="false">IF(B8="Y1",Assumptions!$B$50,IF(B8="Y2",Assumptions!$B$51,Assumptions!$B$52))</f>
        <v>0</v>
      </c>
      <c r="H8" s="14" t="n">
        <f aca="false">((IF(B8="Y1",Assumptions!$B$35,IF(B8="Y2",Assumptions!$B$36,Assumptions!$B$37)))/1000000*Assumptions!$B$39+Assumptions!$B$38/1000000*Assumptions!$B$40)*F8*Assumptions!$B$41*Assumptions!$B$4</f>
        <v>20.592</v>
      </c>
      <c r="I8" s="14" t="n">
        <f aca="false">((IF(B8="Y1",Assumptions!$B$42,IF(B8="Y2",Assumptions!$B$43,Assumptions!$B$44))*(1-G8*0.9)/1000000*Assumptions!$B$46+Assumptions!$B$45/1000000*Assumptions!$B$47)*Assumptions!$B$48*(1-Assumptions!$B$49)+((IF(B8="Y1",Assumptions!$B$35,IF(B8="Y2",Assumptions!$B$36,Assumptions!$B$37)))/1000000*Assumptions!$B$39+Assumptions!$B$38/1000000*Assumptions!$B$40)*Assumptions!$B$48*Assumptions!$B$49+Assumptions!$B$56*Assumptions!$B$57)*F8*Assumptions!$B$4</f>
        <v>158.9016</v>
      </c>
      <c r="J8" s="14" t="n">
        <f aca="false">((IF(B8="Y1",Assumptions!$B$42,IF(B8="Y2",Assumptions!$B$43,Assumptions!$B$44))*(1-G8*0.9)/1000000*Assumptions!$B$46+Assumptions!$B$45/1000000*Assumptions!$B$47)*Assumptions!$B$48*(1-Assumptions!$B$49)+((IF(B8="Y1",Assumptions!$B$35,IF(B8="Y2",Assumptions!$B$36,Assumptions!$B$37)))/1000000*Assumptions!$B$39+Assumptions!$B$38/1000000*Assumptions!$B$40)*Assumptions!$B$48*Assumptions!$B$49+Assumptions!$B$56*Assumptions!$B$58)*F8*Assumptions!$B$4</f>
        <v>161.304</v>
      </c>
      <c r="K8" s="14" t="n">
        <f aca="false">C8*H8</f>
        <v>2450.448</v>
      </c>
      <c r="L8" s="14" t="n">
        <f aca="false">D8*I8</f>
        <v>12712.128</v>
      </c>
      <c r="M8" s="14" t="n">
        <f aca="false">E8*J8</f>
        <v>0</v>
      </c>
      <c r="N8" s="16" t="n">
        <f aca="false">K8+L8+M8</f>
        <v>15162.576</v>
      </c>
    </row>
    <row r="9" customFormat="false" ht="15" hidden="false" customHeight="false" outlineLevel="0" collapsed="false">
      <c r="A9" s="20" t="n">
        <v>8</v>
      </c>
      <c r="B9" s="20" t="s">
        <v>99</v>
      </c>
      <c r="C9" s="24" t="n">
        <f aca="false">'User Growth'!D9</f>
        <v>137</v>
      </c>
      <c r="D9" s="24" t="n">
        <f aca="false">'User Growth'!E9</f>
        <v>92</v>
      </c>
      <c r="E9" s="24" t="n">
        <f aca="false">'User Growth'!F9</f>
        <v>0</v>
      </c>
      <c r="F9" s="30" t="n">
        <f aca="false">IF(B9="Y1",Assumptions!$B$53,IF(B9="Y2",Assumptions!$B$54,Assumptions!$B$55))</f>
        <v>1</v>
      </c>
      <c r="G9" s="31" t="n">
        <f aca="false">IF(B9="Y1",Assumptions!$B$50,IF(B9="Y2",Assumptions!$B$51,Assumptions!$B$52))</f>
        <v>0</v>
      </c>
      <c r="H9" s="28" t="n">
        <f aca="false">((IF(B9="Y1",Assumptions!$B$35,IF(B9="Y2",Assumptions!$B$36,Assumptions!$B$37)))/1000000*Assumptions!$B$39+Assumptions!$B$38/1000000*Assumptions!$B$40)*F9*Assumptions!$B$41*Assumptions!$B$4</f>
        <v>20.592</v>
      </c>
      <c r="I9" s="28" t="n">
        <f aca="false">((IF(B9="Y1",Assumptions!$B$42,IF(B9="Y2",Assumptions!$B$43,Assumptions!$B$44))*(1-G9*0.9)/1000000*Assumptions!$B$46+Assumptions!$B$45/1000000*Assumptions!$B$47)*Assumptions!$B$48*(1-Assumptions!$B$49)+((IF(B9="Y1",Assumptions!$B$35,IF(B9="Y2",Assumptions!$B$36,Assumptions!$B$37)))/1000000*Assumptions!$B$39+Assumptions!$B$38/1000000*Assumptions!$B$40)*Assumptions!$B$48*Assumptions!$B$49+Assumptions!$B$56*Assumptions!$B$57)*F9*Assumptions!$B$4</f>
        <v>158.9016</v>
      </c>
      <c r="J9" s="28" t="n">
        <f aca="false">((IF(B9="Y1",Assumptions!$B$42,IF(B9="Y2",Assumptions!$B$43,Assumptions!$B$44))*(1-G9*0.9)/1000000*Assumptions!$B$46+Assumptions!$B$45/1000000*Assumptions!$B$47)*Assumptions!$B$48*(1-Assumptions!$B$49)+((IF(B9="Y1",Assumptions!$B$35,IF(B9="Y2",Assumptions!$B$36,Assumptions!$B$37)))/1000000*Assumptions!$B$39+Assumptions!$B$38/1000000*Assumptions!$B$40)*Assumptions!$B$48*Assumptions!$B$49+Assumptions!$B$56*Assumptions!$B$58)*F9*Assumptions!$B$4</f>
        <v>161.304</v>
      </c>
      <c r="K9" s="28" t="n">
        <f aca="false">C9*H9</f>
        <v>2821.104</v>
      </c>
      <c r="L9" s="28" t="n">
        <f aca="false">D9*I9</f>
        <v>14618.9472</v>
      </c>
      <c r="M9" s="28" t="n">
        <f aca="false">E9*J9</f>
        <v>0</v>
      </c>
      <c r="N9" s="32" t="n">
        <f aca="false">K9+L9+M9</f>
        <v>17440.0512</v>
      </c>
    </row>
    <row r="10" customFormat="false" ht="15" hidden="false" customHeight="false" outlineLevel="0" collapsed="false">
      <c r="A10" s="18" t="n">
        <v>9</v>
      </c>
      <c r="B10" s="18" t="s">
        <v>99</v>
      </c>
      <c r="C10" s="25" t="n">
        <f aca="false">'User Growth'!D10</f>
        <v>158</v>
      </c>
      <c r="D10" s="25" t="n">
        <f aca="false">'User Growth'!E10</f>
        <v>105</v>
      </c>
      <c r="E10" s="25" t="n">
        <f aca="false">'User Growth'!F10</f>
        <v>0</v>
      </c>
      <c r="F10" s="29" t="n">
        <f aca="false">IF(B10="Y1",Assumptions!$B$53,IF(B10="Y2",Assumptions!$B$54,Assumptions!$B$55))</f>
        <v>1</v>
      </c>
      <c r="G10" s="13" t="n">
        <f aca="false">IF(B10="Y1",Assumptions!$B$50,IF(B10="Y2",Assumptions!$B$51,Assumptions!$B$52))</f>
        <v>0</v>
      </c>
      <c r="H10" s="14" t="n">
        <f aca="false">((IF(B10="Y1",Assumptions!$B$35,IF(B10="Y2",Assumptions!$B$36,Assumptions!$B$37)))/1000000*Assumptions!$B$39+Assumptions!$B$38/1000000*Assumptions!$B$40)*F10*Assumptions!$B$41*Assumptions!$B$4</f>
        <v>20.592</v>
      </c>
      <c r="I10" s="14" t="n">
        <f aca="false">((IF(B10="Y1",Assumptions!$B$42,IF(B10="Y2",Assumptions!$B$43,Assumptions!$B$44))*(1-G10*0.9)/1000000*Assumptions!$B$46+Assumptions!$B$45/1000000*Assumptions!$B$47)*Assumptions!$B$48*(1-Assumptions!$B$49)+((IF(B10="Y1",Assumptions!$B$35,IF(B10="Y2",Assumptions!$B$36,Assumptions!$B$37)))/1000000*Assumptions!$B$39+Assumptions!$B$38/1000000*Assumptions!$B$40)*Assumptions!$B$48*Assumptions!$B$49+Assumptions!$B$56*Assumptions!$B$57)*F10*Assumptions!$B$4</f>
        <v>158.9016</v>
      </c>
      <c r="J10" s="14" t="n">
        <f aca="false">((IF(B10="Y1",Assumptions!$B$42,IF(B10="Y2",Assumptions!$B$43,Assumptions!$B$44))*(1-G10*0.9)/1000000*Assumptions!$B$46+Assumptions!$B$45/1000000*Assumptions!$B$47)*Assumptions!$B$48*(1-Assumptions!$B$49)+((IF(B10="Y1",Assumptions!$B$35,IF(B10="Y2",Assumptions!$B$36,Assumptions!$B$37)))/1000000*Assumptions!$B$39+Assumptions!$B$38/1000000*Assumptions!$B$40)*Assumptions!$B$48*Assumptions!$B$49+Assumptions!$B$56*Assumptions!$B$58)*F10*Assumptions!$B$4</f>
        <v>161.304</v>
      </c>
      <c r="K10" s="14" t="n">
        <f aca="false">C10*H10</f>
        <v>3253.536</v>
      </c>
      <c r="L10" s="14" t="n">
        <f aca="false">D10*I10</f>
        <v>16684.668</v>
      </c>
      <c r="M10" s="14" t="n">
        <f aca="false">E10*J10</f>
        <v>0</v>
      </c>
      <c r="N10" s="16" t="n">
        <f aca="false">K10+L10+M10</f>
        <v>19938.204</v>
      </c>
    </row>
    <row r="11" customFormat="false" ht="15" hidden="false" customHeight="false" outlineLevel="0" collapsed="false">
      <c r="A11" s="20" t="n">
        <v>10</v>
      </c>
      <c r="B11" s="20" t="s">
        <v>99</v>
      </c>
      <c r="C11" s="24" t="n">
        <f aca="false">'User Growth'!D11</f>
        <v>181</v>
      </c>
      <c r="D11" s="24" t="n">
        <f aca="false">'User Growth'!E11</f>
        <v>121</v>
      </c>
      <c r="E11" s="24" t="n">
        <f aca="false">'User Growth'!F11</f>
        <v>0</v>
      </c>
      <c r="F11" s="30" t="n">
        <f aca="false">IF(B11="Y1",Assumptions!$B$53,IF(B11="Y2",Assumptions!$B$54,Assumptions!$B$55))</f>
        <v>1</v>
      </c>
      <c r="G11" s="31" t="n">
        <f aca="false">IF(B11="Y1",Assumptions!$B$50,IF(B11="Y2",Assumptions!$B$51,Assumptions!$B$52))</f>
        <v>0</v>
      </c>
      <c r="H11" s="28" t="n">
        <f aca="false">((IF(B11="Y1",Assumptions!$B$35,IF(B11="Y2",Assumptions!$B$36,Assumptions!$B$37)))/1000000*Assumptions!$B$39+Assumptions!$B$38/1000000*Assumptions!$B$40)*F11*Assumptions!$B$41*Assumptions!$B$4</f>
        <v>20.592</v>
      </c>
      <c r="I11" s="28" t="n">
        <f aca="false">((IF(B11="Y1",Assumptions!$B$42,IF(B11="Y2",Assumptions!$B$43,Assumptions!$B$44))*(1-G11*0.9)/1000000*Assumptions!$B$46+Assumptions!$B$45/1000000*Assumptions!$B$47)*Assumptions!$B$48*(1-Assumptions!$B$49)+((IF(B11="Y1",Assumptions!$B$35,IF(B11="Y2",Assumptions!$B$36,Assumptions!$B$37)))/1000000*Assumptions!$B$39+Assumptions!$B$38/1000000*Assumptions!$B$40)*Assumptions!$B$48*Assumptions!$B$49+Assumptions!$B$56*Assumptions!$B$57)*F11*Assumptions!$B$4</f>
        <v>158.9016</v>
      </c>
      <c r="J11" s="28" t="n">
        <f aca="false">((IF(B11="Y1",Assumptions!$B$42,IF(B11="Y2",Assumptions!$B$43,Assumptions!$B$44))*(1-G11*0.9)/1000000*Assumptions!$B$46+Assumptions!$B$45/1000000*Assumptions!$B$47)*Assumptions!$B$48*(1-Assumptions!$B$49)+((IF(B11="Y1",Assumptions!$B$35,IF(B11="Y2",Assumptions!$B$36,Assumptions!$B$37)))/1000000*Assumptions!$B$39+Assumptions!$B$38/1000000*Assumptions!$B$40)*Assumptions!$B$48*Assumptions!$B$49+Assumptions!$B$56*Assumptions!$B$58)*F11*Assumptions!$B$4</f>
        <v>161.304</v>
      </c>
      <c r="K11" s="28" t="n">
        <f aca="false">C11*H11</f>
        <v>3727.152</v>
      </c>
      <c r="L11" s="28" t="n">
        <f aca="false">D11*I11</f>
        <v>19227.0936</v>
      </c>
      <c r="M11" s="28" t="n">
        <f aca="false">E11*J11</f>
        <v>0</v>
      </c>
      <c r="N11" s="32" t="n">
        <f aca="false">K11+L11+M11</f>
        <v>22954.2456</v>
      </c>
    </row>
    <row r="12" customFormat="false" ht="15" hidden="false" customHeight="false" outlineLevel="0" collapsed="false">
      <c r="A12" s="18" t="n">
        <v>11</v>
      </c>
      <c r="B12" s="18" t="s">
        <v>99</v>
      </c>
      <c r="C12" s="25" t="n">
        <f aca="false">'User Growth'!D12</f>
        <v>208</v>
      </c>
      <c r="D12" s="25" t="n">
        <f aca="false">'User Growth'!E12</f>
        <v>139</v>
      </c>
      <c r="E12" s="25" t="n">
        <f aca="false">'User Growth'!F12</f>
        <v>0</v>
      </c>
      <c r="F12" s="29" t="n">
        <f aca="false">IF(B12="Y1",Assumptions!$B$53,IF(B12="Y2",Assumptions!$B$54,Assumptions!$B$55))</f>
        <v>1</v>
      </c>
      <c r="G12" s="13" t="n">
        <f aca="false">IF(B12="Y1",Assumptions!$B$50,IF(B12="Y2",Assumptions!$B$51,Assumptions!$B$52))</f>
        <v>0</v>
      </c>
      <c r="H12" s="14" t="n">
        <f aca="false">((IF(B12="Y1",Assumptions!$B$35,IF(B12="Y2",Assumptions!$B$36,Assumptions!$B$37)))/1000000*Assumptions!$B$39+Assumptions!$B$38/1000000*Assumptions!$B$40)*F12*Assumptions!$B$41*Assumptions!$B$4</f>
        <v>20.592</v>
      </c>
      <c r="I12" s="14" t="n">
        <f aca="false">((IF(B12="Y1",Assumptions!$B$42,IF(B12="Y2",Assumptions!$B$43,Assumptions!$B$44))*(1-G12*0.9)/1000000*Assumptions!$B$46+Assumptions!$B$45/1000000*Assumptions!$B$47)*Assumptions!$B$48*(1-Assumptions!$B$49)+((IF(B12="Y1",Assumptions!$B$35,IF(B12="Y2",Assumptions!$B$36,Assumptions!$B$37)))/1000000*Assumptions!$B$39+Assumptions!$B$38/1000000*Assumptions!$B$40)*Assumptions!$B$48*Assumptions!$B$49+Assumptions!$B$56*Assumptions!$B$57)*F12*Assumptions!$B$4</f>
        <v>158.9016</v>
      </c>
      <c r="J12" s="14" t="n">
        <f aca="false">((IF(B12="Y1",Assumptions!$B$42,IF(B12="Y2",Assumptions!$B$43,Assumptions!$B$44))*(1-G12*0.9)/1000000*Assumptions!$B$46+Assumptions!$B$45/1000000*Assumptions!$B$47)*Assumptions!$B$48*(1-Assumptions!$B$49)+((IF(B12="Y1",Assumptions!$B$35,IF(B12="Y2",Assumptions!$B$36,Assumptions!$B$37)))/1000000*Assumptions!$B$39+Assumptions!$B$38/1000000*Assumptions!$B$40)*Assumptions!$B$48*Assumptions!$B$49+Assumptions!$B$56*Assumptions!$B$58)*F12*Assumptions!$B$4</f>
        <v>161.304</v>
      </c>
      <c r="K12" s="14" t="n">
        <f aca="false">C12*H12</f>
        <v>4283.136</v>
      </c>
      <c r="L12" s="14" t="n">
        <f aca="false">D12*I12</f>
        <v>22087.3224</v>
      </c>
      <c r="M12" s="14" t="n">
        <f aca="false">E12*J12</f>
        <v>0</v>
      </c>
      <c r="N12" s="16" t="n">
        <f aca="false">K12+L12+M12</f>
        <v>26370.4584</v>
      </c>
    </row>
    <row r="13" customFormat="false" ht="15" hidden="false" customHeight="false" outlineLevel="0" collapsed="false">
      <c r="A13" s="20" t="n">
        <v>12</v>
      </c>
      <c r="B13" s="20" t="s">
        <v>99</v>
      </c>
      <c r="C13" s="24" t="n">
        <f aca="false">'User Growth'!D13</f>
        <v>239</v>
      </c>
      <c r="D13" s="24" t="n">
        <f aca="false">'User Growth'!E13</f>
        <v>160</v>
      </c>
      <c r="E13" s="24" t="n">
        <f aca="false">'User Growth'!F13</f>
        <v>0</v>
      </c>
      <c r="F13" s="30" t="n">
        <f aca="false">IF(B13="Y1",Assumptions!$B$53,IF(B13="Y2",Assumptions!$B$54,Assumptions!$B$55))</f>
        <v>1</v>
      </c>
      <c r="G13" s="31" t="n">
        <f aca="false">IF(B13="Y1",Assumptions!$B$50,IF(B13="Y2",Assumptions!$B$51,Assumptions!$B$52))</f>
        <v>0</v>
      </c>
      <c r="H13" s="28" t="n">
        <f aca="false">((IF(B13="Y1",Assumptions!$B$35,IF(B13="Y2",Assumptions!$B$36,Assumptions!$B$37)))/1000000*Assumptions!$B$39+Assumptions!$B$38/1000000*Assumptions!$B$40)*F13*Assumptions!$B$41*Assumptions!$B$4</f>
        <v>20.592</v>
      </c>
      <c r="I13" s="28" t="n">
        <f aca="false">((IF(B13="Y1",Assumptions!$B$42,IF(B13="Y2",Assumptions!$B$43,Assumptions!$B$44))*(1-G13*0.9)/1000000*Assumptions!$B$46+Assumptions!$B$45/1000000*Assumptions!$B$47)*Assumptions!$B$48*(1-Assumptions!$B$49)+((IF(B13="Y1",Assumptions!$B$35,IF(B13="Y2",Assumptions!$B$36,Assumptions!$B$37)))/1000000*Assumptions!$B$39+Assumptions!$B$38/1000000*Assumptions!$B$40)*Assumptions!$B$48*Assumptions!$B$49+Assumptions!$B$56*Assumptions!$B$57)*F13*Assumptions!$B$4</f>
        <v>158.9016</v>
      </c>
      <c r="J13" s="28" t="n">
        <f aca="false">((IF(B13="Y1",Assumptions!$B$42,IF(B13="Y2",Assumptions!$B$43,Assumptions!$B$44))*(1-G13*0.9)/1000000*Assumptions!$B$46+Assumptions!$B$45/1000000*Assumptions!$B$47)*Assumptions!$B$48*(1-Assumptions!$B$49)+((IF(B13="Y1",Assumptions!$B$35,IF(B13="Y2",Assumptions!$B$36,Assumptions!$B$37)))/1000000*Assumptions!$B$39+Assumptions!$B$38/1000000*Assumptions!$B$40)*Assumptions!$B$48*Assumptions!$B$49+Assumptions!$B$56*Assumptions!$B$58)*F13*Assumptions!$B$4</f>
        <v>161.304</v>
      </c>
      <c r="K13" s="28" t="n">
        <f aca="false">C13*H13</f>
        <v>4921.488</v>
      </c>
      <c r="L13" s="28" t="n">
        <f aca="false">D13*I13</f>
        <v>25424.256</v>
      </c>
      <c r="M13" s="28" t="n">
        <f aca="false">E13*J13</f>
        <v>0</v>
      </c>
      <c r="N13" s="32" t="n">
        <f aca="false">K13+L13+M13</f>
        <v>30345.744</v>
      </c>
    </row>
    <row r="14" customFormat="false" ht="15" hidden="false" customHeight="false" outlineLevel="0" collapsed="false">
      <c r="A14" s="18" t="n">
        <v>13</v>
      </c>
      <c r="B14" s="18" t="s">
        <v>100</v>
      </c>
      <c r="C14" s="25" t="n">
        <f aca="false">'User Growth'!D14</f>
        <v>241</v>
      </c>
      <c r="D14" s="25" t="n">
        <f aca="false">'User Growth'!E14</f>
        <v>167</v>
      </c>
      <c r="E14" s="25" t="n">
        <f aca="false">'User Growth'!F14</f>
        <v>31</v>
      </c>
      <c r="F14" s="29" t="n">
        <f aca="false">IF(B14="Y1",Assumptions!$B$53,IF(B14="Y2",Assumptions!$B$54,Assumptions!$B$55))</f>
        <v>1.35</v>
      </c>
      <c r="G14" s="13" t="n">
        <f aca="false">IF(B14="Y1",Assumptions!$B$50,IF(B14="Y2",Assumptions!$B$51,Assumptions!$B$52))</f>
        <v>0.4</v>
      </c>
      <c r="H14" s="14" t="n">
        <f aca="false">((IF(B14="Y1",Assumptions!$B$35,IF(B14="Y2",Assumptions!$B$36,Assumptions!$B$37)))/1000000*Assumptions!$B$39+Assumptions!$B$38/1000000*Assumptions!$B$40)*F14*Assumptions!$B$41*Assumptions!$B$4</f>
        <v>31.50576</v>
      </c>
      <c r="I14" s="14" t="n">
        <f aca="false">((IF(B14="Y1",Assumptions!$B$42,IF(B14="Y2",Assumptions!$B$43,Assumptions!$B$44))*(1-G14*0.9)/1000000*Assumptions!$B$46+Assumptions!$B$45/1000000*Assumptions!$B$47)*Assumptions!$B$48*(1-Assumptions!$B$49)+((IF(B14="Y1",Assumptions!$B$35,IF(B14="Y2",Assumptions!$B$36,Assumptions!$B$37)))/1000000*Assumptions!$B$39+Assumptions!$B$38/1000000*Assumptions!$B$40)*Assumptions!$B$48*Assumptions!$B$49+Assumptions!$B$56*Assumptions!$B$57)*F14*Assumptions!$B$4</f>
        <v>205.8438096</v>
      </c>
      <c r="J14" s="14" t="n">
        <f aca="false">((IF(B14="Y1",Assumptions!$B$42,IF(B14="Y2",Assumptions!$B$43,Assumptions!$B$44))*(1-G14*0.9)/1000000*Assumptions!$B$46+Assumptions!$B$45/1000000*Assumptions!$B$47)*Assumptions!$B$48*(1-Assumptions!$B$49)+((IF(B14="Y1",Assumptions!$B$35,IF(B14="Y2",Assumptions!$B$36,Assumptions!$B$37)))/1000000*Assumptions!$B$39+Assumptions!$B$38/1000000*Assumptions!$B$40)*Assumptions!$B$48*Assumptions!$B$49+Assumptions!$B$56*Assumptions!$B$58)*F14*Assumptions!$B$4</f>
        <v>209.0870496</v>
      </c>
      <c r="K14" s="14" t="n">
        <f aca="false">C14*H14</f>
        <v>7592.88816</v>
      </c>
      <c r="L14" s="14" t="n">
        <f aca="false">D14*I14</f>
        <v>34375.9162032</v>
      </c>
      <c r="M14" s="14" t="n">
        <f aca="false">E14*J14</f>
        <v>6481.6985376</v>
      </c>
      <c r="N14" s="16" t="n">
        <f aca="false">K14+L14+M14</f>
        <v>48450.5029008</v>
      </c>
    </row>
    <row r="15" customFormat="false" ht="15" hidden="false" customHeight="false" outlineLevel="0" collapsed="false">
      <c r="A15" s="20" t="n">
        <v>14</v>
      </c>
      <c r="B15" s="20" t="s">
        <v>100</v>
      </c>
      <c r="C15" s="24" t="n">
        <f aca="false">'User Growth'!D15</f>
        <v>266</v>
      </c>
      <c r="D15" s="24" t="n">
        <f aca="false">'User Growth'!E15</f>
        <v>184</v>
      </c>
      <c r="E15" s="24" t="n">
        <f aca="false">'User Growth'!F15</f>
        <v>34</v>
      </c>
      <c r="F15" s="30" t="n">
        <f aca="false">IF(B15="Y1",Assumptions!$B$53,IF(B15="Y2",Assumptions!$B$54,Assumptions!$B$55))</f>
        <v>1.35</v>
      </c>
      <c r="G15" s="31" t="n">
        <f aca="false">IF(B15="Y1",Assumptions!$B$50,IF(B15="Y2",Assumptions!$B$51,Assumptions!$B$52))</f>
        <v>0.4</v>
      </c>
      <c r="H15" s="28" t="n">
        <f aca="false">((IF(B15="Y1",Assumptions!$B$35,IF(B15="Y2",Assumptions!$B$36,Assumptions!$B$37)))/1000000*Assumptions!$B$39+Assumptions!$B$38/1000000*Assumptions!$B$40)*F15*Assumptions!$B$41*Assumptions!$B$4</f>
        <v>31.50576</v>
      </c>
      <c r="I15" s="28" t="n">
        <f aca="false">((IF(B15="Y1",Assumptions!$B$42,IF(B15="Y2",Assumptions!$B$43,Assumptions!$B$44))*(1-G15*0.9)/1000000*Assumptions!$B$46+Assumptions!$B$45/1000000*Assumptions!$B$47)*Assumptions!$B$48*(1-Assumptions!$B$49)+((IF(B15="Y1",Assumptions!$B$35,IF(B15="Y2",Assumptions!$B$36,Assumptions!$B$37)))/1000000*Assumptions!$B$39+Assumptions!$B$38/1000000*Assumptions!$B$40)*Assumptions!$B$48*Assumptions!$B$49+Assumptions!$B$56*Assumptions!$B$57)*F15*Assumptions!$B$4</f>
        <v>205.8438096</v>
      </c>
      <c r="J15" s="28" t="n">
        <f aca="false">((IF(B15="Y1",Assumptions!$B$42,IF(B15="Y2",Assumptions!$B$43,Assumptions!$B$44))*(1-G15*0.9)/1000000*Assumptions!$B$46+Assumptions!$B$45/1000000*Assumptions!$B$47)*Assumptions!$B$48*(1-Assumptions!$B$49)+((IF(B15="Y1",Assumptions!$B$35,IF(B15="Y2",Assumptions!$B$36,Assumptions!$B$37)))/1000000*Assumptions!$B$39+Assumptions!$B$38/1000000*Assumptions!$B$40)*Assumptions!$B$48*Assumptions!$B$49+Assumptions!$B$56*Assumptions!$B$58)*F15*Assumptions!$B$4</f>
        <v>209.0870496</v>
      </c>
      <c r="K15" s="28" t="n">
        <f aca="false">C15*H15</f>
        <v>8380.53216</v>
      </c>
      <c r="L15" s="28" t="n">
        <f aca="false">D15*I15</f>
        <v>37875.2609664</v>
      </c>
      <c r="M15" s="28" t="n">
        <f aca="false">E15*J15</f>
        <v>7108.9596864</v>
      </c>
      <c r="N15" s="32" t="n">
        <f aca="false">K15+L15+M15</f>
        <v>53364.7528128</v>
      </c>
    </row>
    <row r="16" customFormat="false" ht="15" hidden="false" customHeight="false" outlineLevel="0" collapsed="false">
      <c r="A16" s="18" t="n">
        <v>15</v>
      </c>
      <c r="B16" s="18" t="s">
        <v>100</v>
      </c>
      <c r="C16" s="25" t="n">
        <f aca="false">'User Growth'!D16</f>
        <v>293</v>
      </c>
      <c r="D16" s="25" t="n">
        <f aca="false">'User Growth'!E16</f>
        <v>202</v>
      </c>
      <c r="E16" s="25" t="n">
        <f aca="false">'User Growth'!F16</f>
        <v>37</v>
      </c>
      <c r="F16" s="29" t="n">
        <f aca="false">IF(B16="Y1",Assumptions!$B$53,IF(B16="Y2",Assumptions!$B$54,Assumptions!$B$55))</f>
        <v>1.35</v>
      </c>
      <c r="G16" s="13" t="n">
        <f aca="false">IF(B16="Y1",Assumptions!$B$50,IF(B16="Y2",Assumptions!$B$51,Assumptions!$B$52))</f>
        <v>0.4</v>
      </c>
      <c r="H16" s="14" t="n">
        <f aca="false">((IF(B16="Y1",Assumptions!$B$35,IF(B16="Y2",Assumptions!$B$36,Assumptions!$B$37)))/1000000*Assumptions!$B$39+Assumptions!$B$38/1000000*Assumptions!$B$40)*F16*Assumptions!$B$41*Assumptions!$B$4</f>
        <v>31.50576</v>
      </c>
      <c r="I16" s="14" t="n">
        <f aca="false">((IF(B16="Y1",Assumptions!$B$42,IF(B16="Y2",Assumptions!$B$43,Assumptions!$B$44))*(1-G16*0.9)/1000000*Assumptions!$B$46+Assumptions!$B$45/1000000*Assumptions!$B$47)*Assumptions!$B$48*(1-Assumptions!$B$49)+((IF(B16="Y1",Assumptions!$B$35,IF(B16="Y2",Assumptions!$B$36,Assumptions!$B$37)))/1000000*Assumptions!$B$39+Assumptions!$B$38/1000000*Assumptions!$B$40)*Assumptions!$B$48*Assumptions!$B$49+Assumptions!$B$56*Assumptions!$B$57)*F16*Assumptions!$B$4</f>
        <v>205.8438096</v>
      </c>
      <c r="J16" s="14" t="n">
        <f aca="false">((IF(B16="Y1",Assumptions!$B$42,IF(B16="Y2",Assumptions!$B$43,Assumptions!$B$44))*(1-G16*0.9)/1000000*Assumptions!$B$46+Assumptions!$B$45/1000000*Assumptions!$B$47)*Assumptions!$B$48*(1-Assumptions!$B$49)+((IF(B16="Y1",Assumptions!$B$35,IF(B16="Y2",Assumptions!$B$36,Assumptions!$B$37)))/1000000*Assumptions!$B$39+Assumptions!$B$38/1000000*Assumptions!$B$40)*Assumptions!$B$48*Assumptions!$B$49+Assumptions!$B$56*Assumptions!$B$58)*F16*Assumptions!$B$4</f>
        <v>209.0870496</v>
      </c>
      <c r="K16" s="14" t="n">
        <f aca="false">C16*H16</f>
        <v>9231.18768</v>
      </c>
      <c r="L16" s="14" t="n">
        <f aca="false">D16*I16</f>
        <v>41580.4495392</v>
      </c>
      <c r="M16" s="14" t="n">
        <f aca="false">E16*J16</f>
        <v>7736.2208352</v>
      </c>
      <c r="N16" s="16" t="n">
        <f aca="false">K16+L16+M16</f>
        <v>58547.8580544</v>
      </c>
    </row>
    <row r="17" customFormat="false" ht="15" hidden="false" customHeight="false" outlineLevel="0" collapsed="false">
      <c r="A17" s="20" t="n">
        <v>16</v>
      </c>
      <c r="B17" s="20" t="s">
        <v>100</v>
      </c>
      <c r="C17" s="24" t="n">
        <f aca="false">'User Growth'!D17</f>
        <v>322</v>
      </c>
      <c r="D17" s="24" t="n">
        <f aca="false">'User Growth'!E17</f>
        <v>222</v>
      </c>
      <c r="E17" s="24" t="n">
        <f aca="false">'User Growth'!F17</f>
        <v>41</v>
      </c>
      <c r="F17" s="30" t="n">
        <f aca="false">IF(B17="Y1",Assumptions!$B$53,IF(B17="Y2",Assumptions!$B$54,Assumptions!$B$55))</f>
        <v>1.35</v>
      </c>
      <c r="G17" s="31" t="n">
        <f aca="false">IF(B17="Y1",Assumptions!$B$50,IF(B17="Y2",Assumptions!$B$51,Assumptions!$B$52))</f>
        <v>0.4</v>
      </c>
      <c r="H17" s="28" t="n">
        <f aca="false">((IF(B17="Y1",Assumptions!$B$35,IF(B17="Y2",Assumptions!$B$36,Assumptions!$B$37)))/1000000*Assumptions!$B$39+Assumptions!$B$38/1000000*Assumptions!$B$40)*F17*Assumptions!$B$41*Assumptions!$B$4</f>
        <v>31.50576</v>
      </c>
      <c r="I17" s="28" t="n">
        <f aca="false">((IF(B17="Y1",Assumptions!$B$42,IF(B17="Y2",Assumptions!$B$43,Assumptions!$B$44))*(1-G17*0.9)/1000000*Assumptions!$B$46+Assumptions!$B$45/1000000*Assumptions!$B$47)*Assumptions!$B$48*(1-Assumptions!$B$49)+((IF(B17="Y1",Assumptions!$B$35,IF(B17="Y2",Assumptions!$B$36,Assumptions!$B$37)))/1000000*Assumptions!$B$39+Assumptions!$B$38/1000000*Assumptions!$B$40)*Assumptions!$B$48*Assumptions!$B$49+Assumptions!$B$56*Assumptions!$B$57)*F17*Assumptions!$B$4</f>
        <v>205.8438096</v>
      </c>
      <c r="J17" s="28" t="n">
        <f aca="false">((IF(B17="Y1",Assumptions!$B$42,IF(B17="Y2",Assumptions!$B$43,Assumptions!$B$44))*(1-G17*0.9)/1000000*Assumptions!$B$46+Assumptions!$B$45/1000000*Assumptions!$B$47)*Assumptions!$B$48*(1-Assumptions!$B$49)+((IF(B17="Y1",Assumptions!$B$35,IF(B17="Y2",Assumptions!$B$36,Assumptions!$B$37)))/1000000*Assumptions!$B$39+Assumptions!$B$38/1000000*Assumptions!$B$40)*Assumptions!$B$48*Assumptions!$B$49+Assumptions!$B$56*Assumptions!$B$58)*F17*Assumptions!$B$4</f>
        <v>209.0870496</v>
      </c>
      <c r="K17" s="28" t="n">
        <f aca="false">C17*H17</f>
        <v>10144.85472</v>
      </c>
      <c r="L17" s="28" t="n">
        <f aca="false">D17*I17</f>
        <v>45697.3257312</v>
      </c>
      <c r="M17" s="28" t="n">
        <f aca="false">E17*J17</f>
        <v>8572.5690336</v>
      </c>
      <c r="N17" s="32" t="n">
        <f aca="false">K17+L17+M17</f>
        <v>64414.7494848</v>
      </c>
    </row>
    <row r="18" customFormat="false" ht="15" hidden="false" customHeight="false" outlineLevel="0" collapsed="false">
      <c r="A18" s="18" t="n">
        <v>17</v>
      </c>
      <c r="B18" s="18" t="s">
        <v>100</v>
      </c>
      <c r="C18" s="25" t="n">
        <f aca="false">'User Growth'!D18</f>
        <v>354</v>
      </c>
      <c r="D18" s="25" t="n">
        <f aca="false">'User Growth'!E18</f>
        <v>245</v>
      </c>
      <c r="E18" s="25" t="n">
        <f aca="false">'User Growth'!F18</f>
        <v>45</v>
      </c>
      <c r="F18" s="29" t="n">
        <f aca="false">IF(B18="Y1",Assumptions!$B$53,IF(B18="Y2",Assumptions!$B$54,Assumptions!$B$55))</f>
        <v>1.35</v>
      </c>
      <c r="G18" s="13" t="n">
        <f aca="false">IF(B18="Y1",Assumptions!$B$50,IF(B18="Y2",Assumptions!$B$51,Assumptions!$B$52))</f>
        <v>0.4</v>
      </c>
      <c r="H18" s="14" t="n">
        <f aca="false">((IF(B18="Y1",Assumptions!$B$35,IF(B18="Y2",Assumptions!$B$36,Assumptions!$B$37)))/1000000*Assumptions!$B$39+Assumptions!$B$38/1000000*Assumptions!$B$40)*F18*Assumptions!$B$41*Assumptions!$B$4</f>
        <v>31.50576</v>
      </c>
      <c r="I18" s="14" t="n">
        <f aca="false">((IF(B18="Y1",Assumptions!$B$42,IF(B18="Y2",Assumptions!$B$43,Assumptions!$B$44))*(1-G18*0.9)/1000000*Assumptions!$B$46+Assumptions!$B$45/1000000*Assumptions!$B$47)*Assumptions!$B$48*(1-Assumptions!$B$49)+((IF(B18="Y1",Assumptions!$B$35,IF(B18="Y2",Assumptions!$B$36,Assumptions!$B$37)))/1000000*Assumptions!$B$39+Assumptions!$B$38/1000000*Assumptions!$B$40)*Assumptions!$B$48*Assumptions!$B$49+Assumptions!$B$56*Assumptions!$B$57)*F18*Assumptions!$B$4</f>
        <v>205.8438096</v>
      </c>
      <c r="J18" s="14" t="n">
        <f aca="false">((IF(B18="Y1",Assumptions!$B$42,IF(B18="Y2",Assumptions!$B$43,Assumptions!$B$44))*(1-G18*0.9)/1000000*Assumptions!$B$46+Assumptions!$B$45/1000000*Assumptions!$B$47)*Assumptions!$B$48*(1-Assumptions!$B$49)+((IF(B18="Y1",Assumptions!$B$35,IF(B18="Y2",Assumptions!$B$36,Assumptions!$B$37)))/1000000*Assumptions!$B$39+Assumptions!$B$38/1000000*Assumptions!$B$40)*Assumptions!$B$48*Assumptions!$B$49+Assumptions!$B$56*Assumptions!$B$58)*F18*Assumptions!$B$4</f>
        <v>209.0870496</v>
      </c>
      <c r="K18" s="14" t="n">
        <f aca="false">C18*H18</f>
        <v>11153.03904</v>
      </c>
      <c r="L18" s="14" t="n">
        <f aca="false">D18*I18</f>
        <v>50431.733352</v>
      </c>
      <c r="M18" s="14" t="n">
        <f aca="false">E18*J18</f>
        <v>9408.917232</v>
      </c>
      <c r="N18" s="16" t="n">
        <f aca="false">K18+L18+M18</f>
        <v>70993.689624</v>
      </c>
    </row>
    <row r="19" customFormat="false" ht="15" hidden="false" customHeight="false" outlineLevel="0" collapsed="false">
      <c r="A19" s="20" t="n">
        <v>18</v>
      </c>
      <c r="B19" s="20" t="s">
        <v>100</v>
      </c>
      <c r="C19" s="24" t="n">
        <f aca="false">'User Growth'!D19</f>
        <v>389</v>
      </c>
      <c r="D19" s="24" t="n">
        <f aca="false">'User Growth'!E19</f>
        <v>269</v>
      </c>
      <c r="E19" s="24" t="n">
        <f aca="false">'User Growth'!F19</f>
        <v>50</v>
      </c>
      <c r="F19" s="30" t="n">
        <f aca="false">IF(B19="Y1",Assumptions!$B$53,IF(B19="Y2",Assumptions!$B$54,Assumptions!$B$55))</f>
        <v>1.35</v>
      </c>
      <c r="G19" s="31" t="n">
        <f aca="false">IF(B19="Y1",Assumptions!$B$50,IF(B19="Y2",Assumptions!$B$51,Assumptions!$B$52))</f>
        <v>0.4</v>
      </c>
      <c r="H19" s="28" t="n">
        <f aca="false">((IF(B19="Y1",Assumptions!$B$35,IF(B19="Y2",Assumptions!$B$36,Assumptions!$B$37)))/1000000*Assumptions!$B$39+Assumptions!$B$38/1000000*Assumptions!$B$40)*F19*Assumptions!$B$41*Assumptions!$B$4</f>
        <v>31.50576</v>
      </c>
      <c r="I19" s="28" t="n">
        <f aca="false">((IF(B19="Y1",Assumptions!$B$42,IF(B19="Y2",Assumptions!$B$43,Assumptions!$B$44))*(1-G19*0.9)/1000000*Assumptions!$B$46+Assumptions!$B$45/1000000*Assumptions!$B$47)*Assumptions!$B$48*(1-Assumptions!$B$49)+((IF(B19="Y1",Assumptions!$B$35,IF(B19="Y2",Assumptions!$B$36,Assumptions!$B$37)))/1000000*Assumptions!$B$39+Assumptions!$B$38/1000000*Assumptions!$B$40)*Assumptions!$B$48*Assumptions!$B$49+Assumptions!$B$56*Assumptions!$B$57)*F19*Assumptions!$B$4</f>
        <v>205.8438096</v>
      </c>
      <c r="J19" s="28" t="n">
        <f aca="false">((IF(B19="Y1",Assumptions!$B$42,IF(B19="Y2",Assumptions!$B$43,Assumptions!$B$44))*(1-G19*0.9)/1000000*Assumptions!$B$46+Assumptions!$B$45/1000000*Assumptions!$B$47)*Assumptions!$B$48*(1-Assumptions!$B$49)+((IF(B19="Y1",Assumptions!$B$35,IF(B19="Y2",Assumptions!$B$36,Assumptions!$B$37)))/1000000*Assumptions!$B$39+Assumptions!$B$38/1000000*Assumptions!$B$40)*Assumptions!$B$48*Assumptions!$B$49+Assumptions!$B$56*Assumptions!$B$58)*F19*Assumptions!$B$4</f>
        <v>209.0870496</v>
      </c>
      <c r="K19" s="28" t="n">
        <f aca="false">C19*H19</f>
        <v>12255.74064</v>
      </c>
      <c r="L19" s="28" t="n">
        <f aca="false">D19*I19</f>
        <v>55371.9847824</v>
      </c>
      <c r="M19" s="28" t="n">
        <f aca="false">E19*J19</f>
        <v>10454.35248</v>
      </c>
      <c r="N19" s="32" t="n">
        <f aca="false">K19+L19+M19</f>
        <v>78082.0779024</v>
      </c>
    </row>
    <row r="20" customFormat="false" ht="15" hidden="false" customHeight="false" outlineLevel="0" collapsed="false">
      <c r="A20" s="18" t="n">
        <v>19</v>
      </c>
      <c r="B20" s="18" t="s">
        <v>100</v>
      </c>
      <c r="C20" s="25" t="n">
        <f aca="false">'User Growth'!D20</f>
        <v>428</v>
      </c>
      <c r="D20" s="25" t="n">
        <f aca="false">'User Growth'!E20</f>
        <v>296</v>
      </c>
      <c r="E20" s="25" t="n">
        <f aca="false">'User Growth'!F20</f>
        <v>55</v>
      </c>
      <c r="F20" s="29" t="n">
        <f aca="false">IF(B20="Y1",Assumptions!$B$53,IF(B20="Y2",Assumptions!$B$54,Assumptions!$B$55))</f>
        <v>1.35</v>
      </c>
      <c r="G20" s="13" t="n">
        <f aca="false">IF(B20="Y1",Assumptions!$B$50,IF(B20="Y2",Assumptions!$B$51,Assumptions!$B$52))</f>
        <v>0.4</v>
      </c>
      <c r="H20" s="14" t="n">
        <f aca="false">((IF(B20="Y1",Assumptions!$B$35,IF(B20="Y2",Assumptions!$B$36,Assumptions!$B$37)))/1000000*Assumptions!$B$39+Assumptions!$B$38/1000000*Assumptions!$B$40)*F20*Assumptions!$B$41*Assumptions!$B$4</f>
        <v>31.50576</v>
      </c>
      <c r="I20" s="14" t="n">
        <f aca="false">((IF(B20="Y1",Assumptions!$B$42,IF(B20="Y2",Assumptions!$B$43,Assumptions!$B$44))*(1-G20*0.9)/1000000*Assumptions!$B$46+Assumptions!$B$45/1000000*Assumptions!$B$47)*Assumptions!$B$48*(1-Assumptions!$B$49)+((IF(B20="Y1",Assumptions!$B$35,IF(B20="Y2",Assumptions!$B$36,Assumptions!$B$37)))/1000000*Assumptions!$B$39+Assumptions!$B$38/1000000*Assumptions!$B$40)*Assumptions!$B$48*Assumptions!$B$49+Assumptions!$B$56*Assumptions!$B$57)*F20*Assumptions!$B$4</f>
        <v>205.8438096</v>
      </c>
      <c r="J20" s="14" t="n">
        <f aca="false">((IF(B20="Y1",Assumptions!$B$42,IF(B20="Y2",Assumptions!$B$43,Assumptions!$B$44))*(1-G20*0.9)/1000000*Assumptions!$B$46+Assumptions!$B$45/1000000*Assumptions!$B$47)*Assumptions!$B$48*(1-Assumptions!$B$49)+((IF(B20="Y1",Assumptions!$B$35,IF(B20="Y2",Assumptions!$B$36,Assumptions!$B$37)))/1000000*Assumptions!$B$39+Assumptions!$B$38/1000000*Assumptions!$B$40)*Assumptions!$B$48*Assumptions!$B$49+Assumptions!$B$56*Assumptions!$B$58)*F20*Assumptions!$B$4</f>
        <v>209.0870496</v>
      </c>
      <c r="K20" s="14" t="n">
        <f aca="false">C20*H20</f>
        <v>13484.46528</v>
      </c>
      <c r="L20" s="14" t="n">
        <f aca="false">D20*I20</f>
        <v>60929.7676416</v>
      </c>
      <c r="M20" s="14" t="n">
        <f aca="false">E20*J20</f>
        <v>11499.787728</v>
      </c>
      <c r="N20" s="16" t="n">
        <f aca="false">K20+L20+M20</f>
        <v>85914.0206496</v>
      </c>
    </row>
    <row r="21" customFormat="false" ht="15" hidden="false" customHeight="false" outlineLevel="0" collapsed="false">
      <c r="A21" s="20" t="n">
        <v>20</v>
      </c>
      <c r="B21" s="20" t="s">
        <v>100</v>
      </c>
      <c r="C21" s="24" t="n">
        <f aca="false">'User Growth'!D21</f>
        <v>471</v>
      </c>
      <c r="D21" s="24" t="n">
        <f aca="false">'User Growth'!E21</f>
        <v>326</v>
      </c>
      <c r="E21" s="24" t="n">
        <f aca="false">'User Growth'!F21</f>
        <v>60</v>
      </c>
      <c r="F21" s="30" t="n">
        <f aca="false">IF(B21="Y1",Assumptions!$B$53,IF(B21="Y2",Assumptions!$B$54,Assumptions!$B$55))</f>
        <v>1.35</v>
      </c>
      <c r="G21" s="31" t="n">
        <f aca="false">IF(B21="Y1",Assumptions!$B$50,IF(B21="Y2",Assumptions!$B$51,Assumptions!$B$52))</f>
        <v>0.4</v>
      </c>
      <c r="H21" s="28" t="n">
        <f aca="false">((IF(B21="Y1",Assumptions!$B$35,IF(B21="Y2",Assumptions!$B$36,Assumptions!$B$37)))/1000000*Assumptions!$B$39+Assumptions!$B$38/1000000*Assumptions!$B$40)*F21*Assumptions!$B$41*Assumptions!$B$4</f>
        <v>31.50576</v>
      </c>
      <c r="I21" s="28" t="n">
        <f aca="false">((IF(B21="Y1",Assumptions!$B$42,IF(B21="Y2",Assumptions!$B$43,Assumptions!$B$44))*(1-G21*0.9)/1000000*Assumptions!$B$46+Assumptions!$B$45/1000000*Assumptions!$B$47)*Assumptions!$B$48*(1-Assumptions!$B$49)+((IF(B21="Y1",Assumptions!$B$35,IF(B21="Y2",Assumptions!$B$36,Assumptions!$B$37)))/1000000*Assumptions!$B$39+Assumptions!$B$38/1000000*Assumptions!$B$40)*Assumptions!$B$48*Assumptions!$B$49+Assumptions!$B$56*Assumptions!$B$57)*F21*Assumptions!$B$4</f>
        <v>205.8438096</v>
      </c>
      <c r="J21" s="28" t="n">
        <f aca="false">((IF(B21="Y1",Assumptions!$B$42,IF(B21="Y2",Assumptions!$B$43,Assumptions!$B$44))*(1-G21*0.9)/1000000*Assumptions!$B$46+Assumptions!$B$45/1000000*Assumptions!$B$47)*Assumptions!$B$48*(1-Assumptions!$B$49)+((IF(B21="Y1",Assumptions!$B$35,IF(B21="Y2",Assumptions!$B$36,Assumptions!$B$37)))/1000000*Assumptions!$B$39+Assumptions!$B$38/1000000*Assumptions!$B$40)*Assumptions!$B$48*Assumptions!$B$49+Assumptions!$B$56*Assumptions!$B$58)*F21*Assumptions!$B$4</f>
        <v>209.0870496</v>
      </c>
      <c r="K21" s="28" t="n">
        <f aca="false">C21*H21</f>
        <v>14839.21296</v>
      </c>
      <c r="L21" s="28" t="n">
        <f aca="false">D21*I21</f>
        <v>67105.0819296</v>
      </c>
      <c r="M21" s="28" t="n">
        <f aca="false">E21*J21</f>
        <v>12545.222976</v>
      </c>
      <c r="N21" s="32" t="n">
        <f aca="false">K21+L21+M21</f>
        <v>94489.5178656</v>
      </c>
    </row>
    <row r="22" customFormat="false" ht="15" hidden="false" customHeight="false" outlineLevel="0" collapsed="false">
      <c r="A22" s="18" t="n">
        <v>21</v>
      </c>
      <c r="B22" s="18" t="s">
        <v>100</v>
      </c>
      <c r="C22" s="25" t="n">
        <f aca="false">'User Growth'!D22</f>
        <v>519</v>
      </c>
      <c r="D22" s="25" t="n">
        <f aca="false">'User Growth'!E22</f>
        <v>358</v>
      </c>
      <c r="E22" s="25" t="n">
        <f aca="false">'User Growth'!F22</f>
        <v>66</v>
      </c>
      <c r="F22" s="29" t="n">
        <f aca="false">IF(B22="Y1",Assumptions!$B$53,IF(B22="Y2",Assumptions!$B$54,Assumptions!$B$55))</f>
        <v>1.35</v>
      </c>
      <c r="G22" s="13" t="n">
        <f aca="false">IF(B22="Y1",Assumptions!$B$50,IF(B22="Y2",Assumptions!$B$51,Assumptions!$B$52))</f>
        <v>0.4</v>
      </c>
      <c r="H22" s="14" t="n">
        <f aca="false">((IF(B22="Y1",Assumptions!$B$35,IF(B22="Y2",Assumptions!$B$36,Assumptions!$B$37)))/1000000*Assumptions!$B$39+Assumptions!$B$38/1000000*Assumptions!$B$40)*F22*Assumptions!$B$41*Assumptions!$B$4</f>
        <v>31.50576</v>
      </c>
      <c r="I22" s="14" t="n">
        <f aca="false">((IF(B22="Y1",Assumptions!$B$42,IF(B22="Y2",Assumptions!$B$43,Assumptions!$B$44))*(1-G22*0.9)/1000000*Assumptions!$B$46+Assumptions!$B$45/1000000*Assumptions!$B$47)*Assumptions!$B$48*(1-Assumptions!$B$49)+((IF(B22="Y1",Assumptions!$B$35,IF(B22="Y2",Assumptions!$B$36,Assumptions!$B$37)))/1000000*Assumptions!$B$39+Assumptions!$B$38/1000000*Assumptions!$B$40)*Assumptions!$B$48*Assumptions!$B$49+Assumptions!$B$56*Assumptions!$B$57)*F22*Assumptions!$B$4</f>
        <v>205.8438096</v>
      </c>
      <c r="J22" s="14" t="n">
        <f aca="false">((IF(B22="Y1",Assumptions!$B$42,IF(B22="Y2",Assumptions!$B$43,Assumptions!$B$44))*(1-G22*0.9)/1000000*Assumptions!$B$46+Assumptions!$B$45/1000000*Assumptions!$B$47)*Assumptions!$B$48*(1-Assumptions!$B$49)+((IF(B22="Y1",Assumptions!$B$35,IF(B22="Y2",Assumptions!$B$36,Assumptions!$B$37)))/1000000*Assumptions!$B$39+Assumptions!$B$38/1000000*Assumptions!$B$40)*Assumptions!$B$48*Assumptions!$B$49+Assumptions!$B$56*Assumptions!$B$58)*F22*Assumptions!$B$4</f>
        <v>209.0870496</v>
      </c>
      <c r="K22" s="14" t="n">
        <f aca="false">C22*H22</f>
        <v>16351.48944</v>
      </c>
      <c r="L22" s="14" t="n">
        <f aca="false">D22*I22</f>
        <v>73692.0838368</v>
      </c>
      <c r="M22" s="14" t="n">
        <f aca="false">E22*J22</f>
        <v>13799.7452736</v>
      </c>
      <c r="N22" s="16" t="n">
        <f aca="false">K22+L22+M22</f>
        <v>103843.3185504</v>
      </c>
    </row>
    <row r="23" customFormat="false" ht="15" hidden="false" customHeight="false" outlineLevel="0" collapsed="false">
      <c r="A23" s="20" t="n">
        <v>22</v>
      </c>
      <c r="B23" s="20" t="s">
        <v>100</v>
      </c>
      <c r="C23" s="24" t="n">
        <f aca="false">'User Growth'!D23</f>
        <v>570</v>
      </c>
      <c r="D23" s="24" t="n">
        <f aca="false">'User Growth'!E23</f>
        <v>394</v>
      </c>
      <c r="E23" s="24" t="n">
        <f aca="false">'User Growth'!F23</f>
        <v>73</v>
      </c>
      <c r="F23" s="30" t="n">
        <f aca="false">IF(B23="Y1",Assumptions!$B$53,IF(B23="Y2",Assumptions!$B$54,Assumptions!$B$55))</f>
        <v>1.35</v>
      </c>
      <c r="G23" s="31" t="n">
        <f aca="false">IF(B23="Y1",Assumptions!$B$50,IF(B23="Y2",Assumptions!$B$51,Assumptions!$B$52))</f>
        <v>0.4</v>
      </c>
      <c r="H23" s="28" t="n">
        <f aca="false">((IF(B23="Y1",Assumptions!$B$35,IF(B23="Y2",Assumptions!$B$36,Assumptions!$B$37)))/1000000*Assumptions!$B$39+Assumptions!$B$38/1000000*Assumptions!$B$40)*F23*Assumptions!$B$41*Assumptions!$B$4</f>
        <v>31.50576</v>
      </c>
      <c r="I23" s="28" t="n">
        <f aca="false">((IF(B23="Y1",Assumptions!$B$42,IF(B23="Y2",Assumptions!$B$43,Assumptions!$B$44))*(1-G23*0.9)/1000000*Assumptions!$B$46+Assumptions!$B$45/1000000*Assumptions!$B$47)*Assumptions!$B$48*(1-Assumptions!$B$49)+((IF(B23="Y1",Assumptions!$B$35,IF(B23="Y2",Assumptions!$B$36,Assumptions!$B$37)))/1000000*Assumptions!$B$39+Assumptions!$B$38/1000000*Assumptions!$B$40)*Assumptions!$B$48*Assumptions!$B$49+Assumptions!$B$56*Assumptions!$B$57)*F23*Assumptions!$B$4</f>
        <v>205.8438096</v>
      </c>
      <c r="J23" s="28" t="n">
        <f aca="false">((IF(B23="Y1",Assumptions!$B$42,IF(B23="Y2",Assumptions!$B$43,Assumptions!$B$44))*(1-G23*0.9)/1000000*Assumptions!$B$46+Assumptions!$B$45/1000000*Assumptions!$B$47)*Assumptions!$B$48*(1-Assumptions!$B$49)+((IF(B23="Y1",Assumptions!$B$35,IF(B23="Y2",Assumptions!$B$36,Assumptions!$B$37)))/1000000*Assumptions!$B$39+Assumptions!$B$38/1000000*Assumptions!$B$40)*Assumptions!$B$48*Assumptions!$B$49+Assumptions!$B$56*Assumptions!$B$58)*F23*Assumptions!$B$4</f>
        <v>209.0870496</v>
      </c>
      <c r="K23" s="28" t="n">
        <f aca="false">C23*H23</f>
        <v>17958.2832</v>
      </c>
      <c r="L23" s="28" t="n">
        <f aca="false">D23*I23</f>
        <v>81102.4609824</v>
      </c>
      <c r="M23" s="28" t="n">
        <f aca="false">E23*J23</f>
        <v>15263.3546208</v>
      </c>
      <c r="N23" s="32" t="n">
        <f aca="false">K23+L23+M23</f>
        <v>114324.0988032</v>
      </c>
    </row>
    <row r="24" customFormat="false" ht="15" hidden="false" customHeight="false" outlineLevel="0" collapsed="false">
      <c r="A24" s="18" t="n">
        <v>23</v>
      </c>
      <c r="B24" s="18" t="s">
        <v>100</v>
      </c>
      <c r="C24" s="25" t="n">
        <f aca="false">'User Growth'!D24</f>
        <v>628</v>
      </c>
      <c r="D24" s="25" t="n">
        <f aca="false">'User Growth'!E24</f>
        <v>434</v>
      </c>
      <c r="E24" s="25" t="n">
        <f aca="false">'User Growth'!F24</f>
        <v>80</v>
      </c>
      <c r="F24" s="29" t="n">
        <f aca="false">IF(B24="Y1",Assumptions!$B$53,IF(B24="Y2",Assumptions!$B$54,Assumptions!$B$55))</f>
        <v>1.35</v>
      </c>
      <c r="G24" s="13" t="n">
        <f aca="false">IF(B24="Y1",Assumptions!$B$50,IF(B24="Y2",Assumptions!$B$51,Assumptions!$B$52))</f>
        <v>0.4</v>
      </c>
      <c r="H24" s="14" t="n">
        <f aca="false">((IF(B24="Y1",Assumptions!$B$35,IF(B24="Y2",Assumptions!$B$36,Assumptions!$B$37)))/1000000*Assumptions!$B$39+Assumptions!$B$38/1000000*Assumptions!$B$40)*F24*Assumptions!$B$41*Assumptions!$B$4</f>
        <v>31.50576</v>
      </c>
      <c r="I24" s="14" t="n">
        <f aca="false">((IF(B24="Y1",Assumptions!$B$42,IF(B24="Y2",Assumptions!$B$43,Assumptions!$B$44))*(1-G24*0.9)/1000000*Assumptions!$B$46+Assumptions!$B$45/1000000*Assumptions!$B$47)*Assumptions!$B$48*(1-Assumptions!$B$49)+((IF(B24="Y1",Assumptions!$B$35,IF(B24="Y2",Assumptions!$B$36,Assumptions!$B$37)))/1000000*Assumptions!$B$39+Assumptions!$B$38/1000000*Assumptions!$B$40)*Assumptions!$B$48*Assumptions!$B$49+Assumptions!$B$56*Assumptions!$B$57)*F24*Assumptions!$B$4</f>
        <v>205.8438096</v>
      </c>
      <c r="J24" s="14" t="n">
        <f aca="false">((IF(B24="Y1",Assumptions!$B$42,IF(B24="Y2",Assumptions!$B$43,Assumptions!$B$44))*(1-G24*0.9)/1000000*Assumptions!$B$46+Assumptions!$B$45/1000000*Assumptions!$B$47)*Assumptions!$B$48*(1-Assumptions!$B$49)+((IF(B24="Y1",Assumptions!$B$35,IF(B24="Y2",Assumptions!$B$36,Assumptions!$B$37)))/1000000*Assumptions!$B$39+Assumptions!$B$38/1000000*Assumptions!$B$40)*Assumptions!$B$48*Assumptions!$B$49+Assumptions!$B$56*Assumptions!$B$58)*F24*Assumptions!$B$4</f>
        <v>209.0870496</v>
      </c>
      <c r="K24" s="14" t="n">
        <f aca="false">C24*H24</f>
        <v>19785.61728</v>
      </c>
      <c r="L24" s="14" t="n">
        <f aca="false">D24*I24</f>
        <v>89336.2133664</v>
      </c>
      <c r="M24" s="14" t="n">
        <f aca="false">E24*J24</f>
        <v>16726.963968</v>
      </c>
      <c r="N24" s="16" t="n">
        <f aca="false">K24+L24+M24</f>
        <v>125848.7946144</v>
      </c>
    </row>
    <row r="25" customFormat="false" ht="15" hidden="false" customHeight="false" outlineLevel="0" collapsed="false">
      <c r="A25" s="20" t="n">
        <v>24</v>
      </c>
      <c r="B25" s="20" t="s">
        <v>100</v>
      </c>
      <c r="C25" s="24" t="n">
        <f aca="false">'User Growth'!D25</f>
        <v>691</v>
      </c>
      <c r="D25" s="24" t="n">
        <f aca="false">'User Growth'!E25</f>
        <v>477</v>
      </c>
      <c r="E25" s="24" t="n">
        <f aca="false">'User Growth'!F25</f>
        <v>88</v>
      </c>
      <c r="F25" s="30" t="n">
        <f aca="false">IF(B25="Y1",Assumptions!$B$53,IF(B25="Y2",Assumptions!$B$54,Assumptions!$B$55))</f>
        <v>1.35</v>
      </c>
      <c r="G25" s="31" t="n">
        <f aca="false">IF(B25="Y1",Assumptions!$B$50,IF(B25="Y2",Assumptions!$B$51,Assumptions!$B$52))</f>
        <v>0.4</v>
      </c>
      <c r="H25" s="28" t="n">
        <f aca="false">((IF(B25="Y1",Assumptions!$B$35,IF(B25="Y2",Assumptions!$B$36,Assumptions!$B$37)))/1000000*Assumptions!$B$39+Assumptions!$B$38/1000000*Assumptions!$B$40)*F25*Assumptions!$B$41*Assumptions!$B$4</f>
        <v>31.50576</v>
      </c>
      <c r="I25" s="28" t="n">
        <f aca="false">((IF(B25="Y1",Assumptions!$B$42,IF(B25="Y2",Assumptions!$B$43,Assumptions!$B$44))*(1-G25*0.9)/1000000*Assumptions!$B$46+Assumptions!$B$45/1000000*Assumptions!$B$47)*Assumptions!$B$48*(1-Assumptions!$B$49)+((IF(B25="Y1",Assumptions!$B$35,IF(B25="Y2",Assumptions!$B$36,Assumptions!$B$37)))/1000000*Assumptions!$B$39+Assumptions!$B$38/1000000*Assumptions!$B$40)*Assumptions!$B$48*Assumptions!$B$49+Assumptions!$B$56*Assumptions!$B$57)*F25*Assumptions!$B$4</f>
        <v>205.8438096</v>
      </c>
      <c r="J25" s="28" t="n">
        <f aca="false">((IF(B25="Y1",Assumptions!$B$42,IF(B25="Y2",Assumptions!$B$43,Assumptions!$B$44))*(1-G25*0.9)/1000000*Assumptions!$B$46+Assumptions!$B$45/1000000*Assumptions!$B$47)*Assumptions!$B$48*(1-Assumptions!$B$49)+((IF(B25="Y1",Assumptions!$B$35,IF(B25="Y2",Assumptions!$B$36,Assumptions!$B$37)))/1000000*Assumptions!$B$39+Assumptions!$B$38/1000000*Assumptions!$B$40)*Assumptions!$B$48*Assumptions!$B$49+Assumptions!$B$56*Assumptions!$B$58)*F25*Assumptions!$B$4</f>
        <v>209.0870496</v>
      </c>
      <c r="K25" s="28" t="n">
        <f aca="false">C25*H25</f>
        <v>21770.48016</v>
      </c>
      <c r="L25" s="28" t="n">
        <f aca="false">D25*I25</f>
        <v>98187.4971792</v>
      </c>
      <c r="M25" s="28" t="n">
        <f aca="false">E25*J25</f>
        <v>18399.6603648</v>
      </c>
      <c r="N25" s="32" t="n">
        <f aca="false">K25+L25+M25</f>
        <v>138357.637704</v>
      </c>
    </row>
    <row r="26" customFormat="false" ht="15" hidden="false" customHeight="false" outlineLevel="0" collapsed="false">
      <c r="A26" s="18" t="n">
        <v>25</v>
      </c>
      <c r="B26" s="18" t="s">
        <v>101</v>
      </c>
      <c r="C26" s="25" t="n">
        <f aca="false">'User Growth'!D26</f>
        <v>746</v>
      </c>
      <c r="D26" s="25" t="n">
        <f aca="false">'User Growth'!E26</f>
        <v>515</v>
      </c>
      <c r="E26" s="25" t="n">
        <f aca="false">'User Growth'!F26</f>
        <v>95</v>
      </c>
      <c r="F26" s="29" t="n">
        <f aca="false">IF(B26="Y1",Assumptions!$B$53,IF(B26="Y2",Assumptions!$B$54,Assumptions!$B$55))</f>
        <v>1.65</v>
      </c>
      <c r="G26" s="13" t="n">
        <f aca="false">IF(B26="Y1",Assumptions!$B$50,IF(B26="Y2",Assumptions!$B$51,Assumptions!$B$52))</f>
        <v>0.6</v>
      </c>
      <c r="H26" s="14" t="n">
        <f aca="false">((IF(B26="Y1",Assumptions!$B$35,IF(B26="Y2",Assumptions!$B$36,Assumptions!$B$37)))/1000000*Assumptions!$B$39+Assumptions!$B$38/1000000*Assumptions!$B$40)*F26*Assumptions!$B$41*Assumptions!$B$4</f>
        <v>43.03728</v>
      </c>
      <c r="I26" s="14" t="n">
        <f aca="false">((IF(B26="Y1",Assumptions!$B$42,IF(B26="Y2",Assumptions!$B$43,Assumptions!$B$44))*(1-G26*0.9)/1000000*Assumptions!$B$46+Assumptions!$B$45/1000000*Assumptions!$B$47)*Assumptions!$B$48*(1-Assumptions!$B$49)+((IF(B26="Y1",Assumptions!$B$35,IF(B26="Y2",Assumptions!$B$36,Assumptions!$B$37)))/1000000*Assumptions!$B$39+Assumptions!$B$38/1000000*Assumptions!$B$40)*Assumptions!$B$48*Assumptions!$B$49+Assumptions!$B$56*Assumptions!$B$57)*F26*Assumptions!$B$4</f>
        <v>246.6942192</v>
      </c>
      <c r="J26" s="14" t="n">
        <f aca="false">((IF(B26="Y1",Assumptions!$B$42,IF(B26="Y2",Assumptions!$B$43,Assumptions!$B$44))*(1-G26*0.9)/1000000*Assumptions!$B$46+Assumptions!$B$45/1000000*Assumptions!$B$47)*Assumptions!$B$48*(1-Assumptions!$B$49)+((IF(B26="Y1",Assumptions!$B$35,IF(B26="Y2",Assumptions!$B$36,Assumptions!$B$37)))/1000000*Assumptions!$B$39+Assumptions!$B$38/1000000*Assumptions!$B$40)*Assumptions!$B$48*Assumptions!$B$49+Assumptions!$B$56*Assumptions!$B$58)*F26*Assumptions!$B$4</f>
        <v>250.6581792</v>
      </c>
      <c r="K26" s="14" t="n">
        <f aca="false">C26*H26</f>
        <v>32105.81088</v>
      </c>
      <c r="L26" s="14" t="n">
        <f aca="false">D26*I26</f>
        <v>127047.522888</v>
      </c>
      <c r="M26" s="14" t="n">
        <f aca="false">E26*J26</f>
        <v>23812.527024</v>
      </c>
      <c r="N26" s="16" t="n">
        <f aca="false">K26+L26+M26</f>
        <v>182965.860792</v>
      </c>
    </row>
    <row r="27" customFormat="false" ht="15" hidden="false" customHeight="false" outlineLevel="0" collapsed="false">
      <c r="A27" s="20" t="n">
        <v>26</v>
      </c>
      <c r="B27" s="20" t="s">
        <v>101</v>
      </c>
      <c r="C27" s="24" t="n">
        <f aca="false">'User Growth'!D27</f>
        <v>805</v>
      </c>
      <c r="D27" s="24" t="n">
        <f aca="false">'User Growth'!E27</f>
        <v>556</v>
      </c>
      <c r="E27" s="24" t="n">
        <f aca="false">'User Growth'!F27</f>
        <v>102</v>
      </c>
      <c r="F27" s="30" t="n">
        <f aca="false">IF(B27="Y1",Assumptions!$B$53,IF(B27="Y2",Assumptions!$B$54,Assumptions!$B$55))</f>
        <v>1.65</v>
      </c>
      <c r="G27" s="31" t="n">
        <f aca="false">IF(B27="Y1",Assumptions!$B$50,IF(B27="Y2",Assumptions!$B$51,Assumptions!$B$52))</f>
        <v>0.6</v>
      </c>
      <c r="H27" s="28" t="n">
        <f aca="false">((IF(B27="Y1",Assumptions!$B$35,IF(B27="Y2",Assumptions!$B$36,Assumptions!$B$37)))/1000000*Assumptions!$B$39+Assumptions!$B$38/1000000*Assumptions!$B$40)*F27*Assumptions!$B$41*Assumptions!$B$4</f>
        <v>43.03728</v>
      </c>
      <c r="I27" s="28" t="n">
        <f aca="false">((IF(B27="Y1",Assumptions!$B$42,IF(B27="Y2",Assumptions!$B$43,Assumptions!$B$44))*(1-G27*0.9)/1000000*Assumptions!$B$46+Assumptions!$B$45/1000000*Assumptions!$B$47)*Assumptions!$B$48*(1-Assumptions!$B$49)+((IF(B27="Y1",Assumptions!$B$35,IF(B27="Y2",Assumptions!$B$36,Assumptions!$B$37)))/1000000*Assumptions!$B$39+Assumptions!$B$38/1000000*Assumptions!$B$40)*Assumptions!$B$48*Assumptions!$B$49+Assumptions!$B$56*Assumptions!$B$57)*F27*Assumptions!$B$4</f>
        <v>246.6942192</v>
      </c>
      <c r="J27" s="28" t="n">
        <f aca="false">((IF(B27="Y1",Assumptions!$B$42,IF(B27="Y2",Assumptions!$B$43,Assumptions!$B$44))*(1-G27*0.9)/1000000*Assumptions!$B$46+Assumptions!$B$45/1000000*Assumptions!$B$47)*Assumptions!$B$48*(1-Assumptions!$B$49)+((IF(B27="Y1",Assumptions!$B$35,IF(B27="Y2",Assumptions!$B$36,Assumptions!$B$37)))/1000000*Assumptions!$B$39+Assumptions!$B$38/1000000*Assumptions!$B$40)*Assumptions!$B$48*Assumptions!$B$49+Assumptions!$B$56*Assumptions!$B$58)*F27*Assumptions!$B$4</f>
        <v>250.6581792</v>
      </c>
      <c r="K27" s="28" t="n">
        <f aca="false">C27*H27</f>
        <v>34645.0104</v>
      </c>
      <c r="L27" s="28" t="n">
        <f aca="false">D27*I27</f>
        <v>137161.9858752</v>
      </c>
      <c r="M27" s="28" t="n">
        <f aca="false">E27*J27</f>
        <v>25567.1342784</v>
      </c>
      <c r="N27" s="32" t="n">
        <f aca="false">K27+L27+M27</f>
        <v>197374.1305536</v>
      </c>
    </row>
    <row r="28" customFormat="false" ht="15" hidden="false" customHeight="false" outlineLevel="0" collapsed="false">
      <c r="A28" s="18" t="n">
        <v>27</v>
      </c>
      <c r="B28" s="18" t="s">
        <v>101</v>
      </c>
      <c r="C28" s="25" t="n">
        <f aca="false">'User Growth'!D28</f>
        <v>869</v>
      </c>
      <c r="D28" s="25" t="n">
        <f aca="false">'User Growth'!E28</f>
        <v>600</v>
      </c>
      <c r="E28" s="25" t="n">
        <f aca="false">'User Growth'!F28</f>
        <v>111</v>
      </c>
      <c r="F28" s="29" t="n">
        <f aca="false">IF(B28="Y1",Assumptions!$B$53,IF(B28="Y2",Assumptions!$B$54,Assumptions!$B$55))</f>
        <v>1.65</v>
      </c>
      <c r="G28" s="13" t="n">
        <f aca="false">IF(B28="Y1",Assumptions!$B$50,IF(B28="Y2",Assumptions!$B$51,Assumptions!$B$52))</f>
        <v>0.6</v>
      </c>
      <c r="H28" s="14" t="n">
        <f aca="false">((IF(B28="Y1",Assumptions!$B$35,IF(B28="Y2",Assumptions!$B$36,Assumptions!$B$37)))/1000000*Assumptions!$B$39+Assumptions!$B$38/1000000*Assumptions!$B$40)*F28*Assumptions!$B$41*Assumptions!$B$4</f>
        <v>43.03728</v>
      </c>
      <c r="I28" s="14" t="n">
        <f aca="false">((IF(B28="Y1",Assumptions!$B$42,IF(B28="Y2",Assumptions!$B$43,Assumptions!$B$44))*(1-G28*0.9)/1000000*Assumptions!$B$46+Assumptions!$B$45/1000000*Assumptions!$B$47)*Assumptions!$B$48*(1-Assumptions!$B$49)+((IF(B28="Y1",Assumptions!$B$35,IF(B28="Y2",Assumptions!$B$36,Assumptions!$B$37)))/1000000*Assumptions!$B$39+Assumptions!$B$38/1000000*Assumptions!$B$40)*Assumptions!$B$48*Assumptions!$B$49+Assumptions!$B$56*Assumptions!$B$57)*F28*Assumptions!$B$4</f>
        <v>246.6942192</v>
      </c>
      <c r="J28" s="14" t="n">
        <f aca="false">((IF(B28="Y1",Assumptions!$B$42,IF(B28="Y2",Assumptions!$B$43,Assumptions!$B$44))*(1-G28*0.9)/1000000*Assumptions!$B$46+Assumptions!$B$45/1000000*Assumptions!$B$47)*Assumptions!$B$48*(1-Assumptions!$B$49)+((IF(B28="Y1",Assumptions!$B$35,IF(B28="Y2",Assumptions!$B$36,Assumptions!$B$37)))/1000000*Assumptions!$B$39+Assumptions!$B$38/1000000*Assumptions!$B$40)*Assumptions!$B$48*Assumptions!$B$49+Assumptions!$B$56*Assumptions!$B$58)*F28*Assumptions!$B$4</f>
        <v>250.6581792</v>
      </c>
      <c r="K28" s="14" t="n">
        <f aca="false">C28*H28</f>
        <v>37399.39632</v>
      </c>
      <c r="L28" s="14" t="n">
        <f aca="false">D28*I28</f>
        <v>148016.53152</v>
      </c>
      <c r="M28" s="14" t="n">
        <f aca="false">E28*J28</f>
        <v>27823.0578912</v>
      </c>
      <c r="N28" s="16" t="n">
        <f aca="false">K28+L28+M28</f>
        <v>213238.9857312</v>
      </c>
    </row>
    <row r="29" customFormat="false" ht="15" hidden="false" customHeight="false" outlineLevel="0" collapsed="false">
      <c r="A29" s="20" t="n">
        <v>28</v>
      </c>
      <c r="B29" s="20" t="s">
        <v>101</v>
      </c>
      <c r="C29" s="24" t="n">
        <f aca="false">'User Growth'!D29</f>
        <v>938</v>
      </c>
      <c r="D29" s="24" t="n">
        <f aca="false">'User Growth'!E29</f>
        <v>648</v>
      </c>
      <c r="E29" s="24" t="n">
        <f aca="false">'User Growth'!F29</f>
        <v>119</v>
      </c>
      <c r="F29" s="30" t="n">
        <f aca="false">IF(B29="Y1",Assumptions!$B$53,IF(B29="Y2",Assumptions!$B$54,Assumptions!$B$55))</f>
        <v>1.65</v>
      </c>
      <c r="G29" s="31" t="n">
        <f aca="false">IF(B29="Y1",Assumptions!$B$50,IF(B29="Y2",Assumptions!$B$51,Assumptions!$B$52))</f>
        <v>0.6</v>
      </c>
      <c r="H29" s="28" t="n">
        <f aca="false">((IF(B29="Y1",Assumptions!$B$35,IF(B29="Y2",Assumptions!$B$36,Assumptions!$B$37)))/1000000*Assumptions!$B$39+Assumptions!$B$38/1000000*Assumptions!$B$40)*F29*Assumptions!$B$41*Assumptions!$B$4</f>
        <v>43.03728</v>
      </c>
      <c r="I29" s="28" t="n">
        <f aca="false">((IF(B29="Y1",Assumptions!$B$42,IF(B29="Y2",Assumptions!$B$43,Assumptions!$B$44))*(1-G29*0.9)/1000000*Assumptions!$B$46+Assumptions!$B$45/1000000*Assumptions!$B$47)*Assumptions!$B$48*(1-Assumptions!$B$49)+((IF(B29="Y1",Assumptions!$B$35,IF(B29="Y2",Assumptions!$B$36,Assumptions!$B$37)))/1000000*Assumptions!$B$39+Assumptions!$B$38/1000000*Assumptions!$B$40)*Assumptions!$B$48*Assumptions!$B$49+Assumptions!$B$56*Assumptions!$B$57)*F29*Assumptions!$B$4</f>
        <v>246.6942192</v>
      </c>
      <c r="J29" s="28" t="n">
        <f aca="false">((IF(B29="Y1",Assumptions!$B$42,IF(B29="Y2",Assumptions!$B$43,Assumptions!$B$44))*(1-G29*0.9)/1000000*Assumptions!$B$46+Assumptions!$B$45/1000000*Assumptions!$B$47)*Assumptions!$B$48*(1-Assumptions!$B$49)+((IF(B29="Y1",Assumptions!$B$35,IF(B29="Y2",Assumptions!$B$36,Assumptions!$B$37)))/1000000*Assumptions!$B$39+Assumptions!$B$38/1000000*Assumptions!$B$40)*Assumptions!$B$48*Assumptions!$B$49+Assumptions!$B$56*Assumptions!$B$58)*F29*Assumptions!$B$4</f>
        <v>250.6581792</v>
      </c>
      <c r="K29" s="28" t="n">
        <f aca="false">C29*H29</f>
        <v>40368.96864</v>
      </c>
      <c r="L29" s="28" t="n">
        <f aca="false">D29*I29</f>
        <v>159857.8540416</v>
      </c>
      <c r="M29" s="28" t="n">
        <f aca="false">E29*J29</f>
        <v>29828.3233248</v>
      </c>
      <c r="N29" s="32" t="n">
        <f aca="false">K29+L29+M29</f>
        <v>230055.1460064</v>
      </c>
    </row>
    <row r="30" customFormat="false" ht="15" hidden="false" customHeight="false" outlineLevel="0" collapsed="false">
      <c r="A30" s="18" t="n">
        <v>29</v>
      </c>
      <c r="B30" s="18" t="s">
        <v>101</v>
      </c>
      <c r="C30" s="25" t="n">
        <f aca="false">'User Growth'!D30</f>
        <v>1013</v>
      </c>
      <c r="D30" s="25" t="n">
        <f aca="false">'User Growth'!E30</f>
        <v>700</v>
      </c>
      <c r="E30" s="25" t="n">
        <f aca="false">'User Growth'!F30</f>
        <v>129</v>
      </c>
      <c r="F30" s="29" t="n">
        <f aca="false">IF(B30="Y1",Assumptions!$B$53,IF(B30="Y2",Assumptions!$B$54,Assumptions!$B$55))</f>
        <v>1.65</v>
      </c>
      <c r="G30" s="13" t="n">
        <f aca="false">IF(B30="Y1",Assumptions!$B$50,IF(B30="Y2",Assumptions!$B$51,Assumptions!$B$52))</f>
        <v>0.6</v>
      </c>
      <c r="H30" s="14" t="n">
        <f aca="false">((IF(B30="Y1",Assumptions!$B$35,IF(B30="Y2",Assumptions!$B$36,Assumptions!$B$37)))/1000000*Assumptions!$B$39+Assumptions!$B$38/1000000*Assumptions!$B$40)*F30*Assumptions!$B$41*Assumptions!$B$4</f>
        <v>43.03728</v>
      </c>
      <c r="I30" s="14" t="n">
        <f aca="false">((IF(B30="Y1",Assumptions!$B$42,IF(B30="Y2",Assumptions!$B$43,Assumptions!$B$44))*(1-G30*0.9)/1000000*Assumptions!$B$46+Assumptions!$B$45/1000000*Assumptions!$B$47)*Assumptions!$B$48*(1-Assumptions!$B$49)+((IF(B30="Y1",Assumptions!$B$35,IF(B30="Y2",Assumptions!$B$36,Assumptions!$B$37)))/1000000*Assumptions!$B$39+Assumptions!$B$38/1000000*Assumptions!$B$40)*Assumptions!$B$48*Assumptions!$B$49+Assumptions!$B$56*Assumptions!$B$57)*F30*Assumptions!$B$4</f>
        <v>246.6942192</v>
      </c>
      <c r="J30" s="14" t="n">
        <f aca="false">((IF(B30="Y1",Assumptions!$B$42,IF(B30="Y2",Assumptions!$B$43,Assumptions!$B$44))*(1-G30*0.9)/1000000*Assumptions!$B$46+Assumptions!$B$45/1000000*Assumptions!$B$47)*Assumptions!$B$48*(1-Assumptions!$B$49)+((IF(B30="Y1",Assumptions!$B$35,IF(B30="Y2",Assumptions!$B$36,Assumptions!$B$37)))/1000000*Assumptions!$B$39+Assumptions!$B$38/1000000*Assumptions!$B$40)*Assumptions!$B$48*Assumptions!$B$49+Assumptions!$B$56*Assumptions!$B$58)*F30*Assumptions!$B$4</f>
        <v>250.6581792</v>
      </c>
      <c r="K30" s="14" t="n">
        <f aca="false">C30*H30</f>
        <v>43596.76464</v>
      </c>
      <c r="L30" s="14" t="n">
        <f aca="false">D30*I30</f>
        <v>172685.95344</v>
      </c>
      <c r="M30" s="14" t="n">
        <f aca="false">E30*J30</f>
        <v>32334.9051168</v>
      </c>
      <c r="N30" s="16" t="n">
        <f aca="false">K30+L30+M30</f>
        <v>248617.6231968</v>
      </c>
    </row>
    <row r="31" customFormat="false" ht="15" hidden="false" customHeight="false" outlineLevel="0" collapsed="false">
      <c r="A31" s="20" t="n">
        <v>30</v>
      </c>
      <c r="B31" s="20" t="s">
        <v>101</v>
      </c>
      <c r="C31" s="24" t="n">
        <f aca="false">'User Growth'!D31</f>
        <v>1094</v>
      </c>
      <c r="D31" s="24" t="n">
        <f aca="false">'User Growth'!E31</f>
        <v>756</v>
      </c>
      <c r="E31" s="24" t="n">
        <f aca="false">'User Growth'!F31</f>
        <v>139</v>
      </c>
      <c r="F31" s="30" t="n">
        <f aca="false">IF(B31="Y1",Assumptions!$B$53,IF(B31="Y2",Assumptions!$B$54,Assumptions!$B$55))</f>
        <v>1.65</v>
      </c>
      <c r="G31" s="31" t="n">
        <f aca="false">IF(B31="Y1",Assumptions!$B$50,IF(B31="Y2",Assumptions!$B$51,Assumptions!$B$52))</f>
        <v>0.6</v>
      </c>
      <c r="H31" s="28" t="n">
        <f aca="false">((IF(B31="Y1",Assumptions!$B$35,IF(B31="Y2",Assumptions!$B$36,Assumptions!$B$37)))/1000000*Assumptions!$B$39+Assumptions!$B$38/1000000*Assumptions!$B$40)*F31*Assumptions!$B$41*Assumptions!$B$4</f>
        <v>43.03728</v>
      </c>
      <c r="I31" s="28" t="n">
        <f aca="false">((IF(B31="Y1",Assumptions!$B$42,IF(B31="Y2",Assumptions!$B$43,Assumptions!$B$44))*(1-G31*0.9)/1000000*Assumptions!$B$46+Assumptions!$B$45/1000000*Assumptions!$B$47)*Assumptions!$B$48*(1-Assumptions!$B$49)+((IF(B31="Y1",Assumptions!$B$35,IF(B31="Y2",Assumptions!$B$36,Assumptions!$B$37)))/1000000*Assumptions!$B$39+Assumptions!$B$38/1000000*Assumptions!$B$40)*Assumptions!$B$48*Assumptions!$B$49+Assumptions!$B$56*Assumptions!$B$57)*F31*Assumptions!$B$4</f>
        <v>246.6942192</v>
      </c>
      <c r="J31" s="28" t="n">
        <f aca="false">((IF(B31="Y1",Assumptions!$B$42,IF(B31="Y2",Assumptions!$B$43,Assumptions!$B$44))*(1-G31*0.9)/1000000*Assumptions!$B$46+Assumptions!$B$45/1000000*Assumptions!$B$47)*Assumptions!$B$48*(1-Assumptions!$B$49)+((IF(B31="Y1",Assumptions!$B$35,IF(B31="Y2",Assumptions!$B$36,Assumptions!$B$37)))/1000000*Assumptions!$B$39+Assumptions!$B$38/1000000*Assumptions!$B$40)*Assumptions!$B$48*Assumptions!$B$49+Assumptions!$B$56*Assumptions!$B$58)*F31*Assumptions!$B$4</f>
        <v>250.6581792</v>
      </c>
      <c r="K31" s="28" t="n">
        <f aca="false">C31*H31</f>
        <v>47082.78432</v>
      </c>
      <c r="L31" s="28" t="n">
        <f aca="false">D31*I31</f>
        <v>186500.8297152</v>
      </c>
      <c r="M31" s="28" t="n">
        <f aca="false">E31*J31</f>
        <v>34841.4869088</v>
      </c>
      <c r="N31" s="32" t="n">
        <f aca="false">K31+L31+M31</f>
        <v>268425.100944</v>
      </c>
    </row>
    <row r="32" customFormat="false" ht="15" hidden="false" customHeight="false" outlineLevel="0" collapsed="false">
      <c r="A32" s="18" t="n">
        <v>31</v>
      </c>
      <c r="B32" s="18" t="s">
        <v>101</v>
      </c>
      <c r="C32" s="25" t="n">
        <f aca="false">'User Growth'!D32</f>
        <v>1181</v>
      </c>
      <c r="D32" s="25" t="n">
        <f aca="false">'User Growth'!E32</f>
        <v>816</v>
      </c>
      <c r="E32" s="25" t="n">
        <f aca="false">'User Growth'!F32</f>
        <v>150</v>
      </c>
      <c r="F32" s="29" t="n">
        <f aca="false">IF(B32="Y1",Assumptions!$B$53,IF(B32="Y2",Assumptions!$B$54,Assumptions!$B$55))</f>
        <v>1.65</v>
      </c>
      <c r="G32" s="13" t="n">
        <f aca="false">IF(B32="Y1",Assumptions!$B$50,IF(B32="Y2",Assumptions!$B$51,Assumptions!$B$52))</f>
        <v>0.6</v>
      </c>
      <c r="H32" s="14" t="n">
        <f aca="false">((IF(B32="Y1",Assumptions!$B$35,IF(B32="Y2",Assumptions!$B$36,Assumptions!$B$37)))/1000000*Assumptions!$B$39+Assumptions!$B$38/1000000*Assumptions!$B$40)*F32*Assumptions!$B$41*Assumptions!$B$4</f>
        <v>43.03728</v>
      </c>
      <c r="I32" s="14" t="n">
        <f aca="false">((IF(B32="Y1",Assumptions!$B$42,IF(B32="Y2",Assumptions!$B$43,Assumptions!$B$44))*(1-G32*0.9)/1000000*Assumptions!$B$46+Assumptions!$B$45/1000000*Assumptions!$B$47)*Assumptions!$B$48*(1-Assumptions!$B$49)+((IF(B32="Y1",Assumptions!$B$35,IF(B32="Y2",Assumptions!$B$36,Assumptions!$B$37)))/1000000*Assumptions!$B$39+Assumptions!$B$38/1000000*Assumptions!$B$40)*Assumptions!$B$48*Assumptions!$B$49+Assumptions!$B$56*Assumptions!$B$57)*F32*Assumptions!$B$4</f>
        <v>246.6942192</v>
      </c>
      <c r="J32" s="14" t="n">
        <f aca="false">((IF(B32="Y1",Assumptions!$B$42,IF(B32="Y2",Assumptions!$B$43,Assumptions!$B$44))*(1-G32*0.9)/1000000*Assumptions!$B$46+Assumptions!$B$45/1000000*Assumptions!$B$47)*Assumptions!$B$48*(1-Assumptions!$B$49)+((IF(B32="Y1",Assumptions!$B$35,IF(B32="Y2",Assumptions!$B$36,Assumptions!$B$37)))/1000000*Assumptions!$B$39+Assumptions!$B$38/1000000*Assumptions!$B$40)*Assumptions!$B$48*Assumptions!$B$49+Assumptions!$B$56*Assumptions!$B$58)*F32*Assumptions!$B$4</f>
        <v>250.6581792</v>
      </c>
      <c r="K32" s="14" t="n">
        <f aca="false">C32*H32</f>
        <v>50827.02768</v>
      </c>
      <c r="L32" s="14" t="n">
        <f aca="false">D32*I32</f>
        <v>201302.4828672</v>
      </c>
      <c r="M32" s="14" t="n">
        <f aca="false">E32*J32</f>
        <v>37598.72688</v>
      </c>
      <c r="N32" s="16" t="n">
        <f aca="false">K32+L32+M32</f>
        <v>289728.2374272</v>
      </c>
    </row>
    <row r="33" customFormat="false" ht="15" hidden="false" customHeight="false" outlineLevel="0" collapsed="false">
      <c r="A33" s="20" t="n">
        <v>32</v>
      </c>
      <c r="B33" s="20" t="s">
        <v>101</v>
      </c>
      <c r="C33" s="24" t="n">
        <f aca="false">'User Growth'!D33</f>
        <v>1275</v>
      </c>
      <c r="D33" s="24" t="n">
        <f aca="false">'User Growth'!E33</f>
        <v>881</v>
      </c>
      <c r="E33" s="24" t="n">
        <f aca="false">'User Growth'!F33</f>
        <v>162</v>
      </c>
      <c r="F33" s="30" t="n">
        <f aca="false">IF(B33="Y1",Assumptions!$B$53,IF(B33="Y2",Assumptions!$B$54,Assumptions!$B$55))</f>
        <v>1.65</v>
      </c>
      <c r="G33" s="31" t="n">
        <f aca="false">IF(B33="Y1",Assumptions!$B$50,IF(B33="Y2",Assumptions!$B$51,Assumptions!$B$52))</f>
        <v>0.6</v>
      </c>
      <c r="H33" s="28" t="n">
        <f aca="false">((IF(B33="Y1",Assumptions!$B$35,IF(B33="Y2",Assumptions!$B$36,Assumptions!$B$37)))/1000000*Assumptions!$B$39+Assumptions!$B$38/1000000*Assumptions!$B$40)*F33*Assumptions!$B$41*Assumptions!$B$4</f>
        <v>43.03728</v>
      </c>
      <c r="I33" s="28" t="n">
        <f aca="false">((IF(B33="Y1",Assumptions!$B$42,IF(B33="Y2",Assumptions!$B$43,Assumptions!$B$44))*(1-G33*0.9)/1000000*Assumptions!$B$46+Assumptions!$B$45/1000000*Assumptions!$B$47)*Assumptions!$B$48*(1-Assumptions!$B$49)+((IF(B33="Y1",Assumptions!$B$35,IF(B33="Y2",Assumptions!$B$36,Assumptions!$B$37)))/1000000*Assumptions!$B$39+Assumptions!$B$38/1000000*Assumptions!$B$40)*Assumptions!$B$48*Assumptions!$B$49+Assumptions!$B$56*Assumptions!$B$57)*F33*Assumptions!$B$4</f>
        <v>246.6942192</v>
      </c>
      <c r="J33" s="28" t="n">
        <f aca="false">((IF(B33="Y1",Assumptions!$B$42,IF(B33="Y2",Assumptions!$B$43,Assumptions!$B$44))*(1-G33*0.9)/1000000*Assumptions!$B$46+Assumptions!$B$45/1000000*Assumptions!$B$47)*Assumptions!$B$48*(1-Assumptions!$B$49)+((IF(B33="Y1",Assumptions!$B$35,IF(B33="Y2",Assumptions!$B$36,Assumptions!$B$37)))/1000000*Assumptions!$B$39+Assumptions!$B$38/1000000*Assumptions!$B$40)*Assumptions!$B$48*Assumptions!$B$49+Assumptions!$B$56*Assumptions!$B$58)*F33*Assumptions!$B$4</f>
        <v>250.6581792</v>
      </c>
      <c r="K33" s="28" t="n">
        <f aca="false">C33*H33</f>
        <v>54872.532</v>
      </c>
      <c r="L33" s="28" t="n">
        <f aca="false">D33*I33</f>
        <v>217337.6071152</v>
      </c>
      <c r="M33" s="28" t="n">
        <f aca="false">E33*J33</f>
        <v>40606.6250304</v>
      </c>
      <c r="N33" s="32" t="n">
        <f aca="false">K33+L33+M33</f>
        <v>312816.7641456</v>
      </c>
    </row>
    <row r="34" customFormat="false" ht="15" hidden="false" customHeight="false" outlineLevel="0" collapsed="false">
      <c r="A34" s="18" t="n">
        <v>33</v>
      </c>
      <c r="B34" s="18" t="s">
        <v>101</v>
      </c>
      <c r="C34" s="25" t="n">
        <f aca="false">'User Growth'!D34</f>
        <v>1377</v>
      </c>
      <c r="D34" s="25" t="n">
        <f aca="false">'User Growth'!E34</f>
        <v>951</v>
      </c>
      <c r="E34" s="25" t="n">
        <f aca="false">'User Growth'!F34</f>
        <v>175</v>
      </c>
      <c r="F34" s="29" t="n">
        <f aca="false">IF(B34="Y1",Assumptions!$B$53,IF(B34="Y2",Assumptions!$B$54,Assumptions!$B$55))</f>
        <v>1.65</v>
      </c>
      <c r="G34" s="13" t="n">
        <f aca="false">IF(B34="Y1",Assumptions!$B$50,IF(B34="Y2",Assumptions!$B$51,Assumptions!$B$52))</f>
        <v>0.6</v>
      </c>
      <c r="H34" s="14" t="n">
        <f aca="false">((IF(B34="Y1",Assumptions!$B$35,IF(B34="Y2",Assumptions!$B$36,Assumptions!$B$37)))/1000000*Assumptions!$B$39+Assumptions!$B$38/1000000*Assumptions!$B$40)*F34*Assumptions!$B$41*Assumptions!$B$4</f>
        <v>43.03728</v>
      </c>
      <c r="I34" s="14" t="n">
        <f aca="false">((IF(B34="Y1",Assumptions!$B$42,IF(B34="Y2",Assumptions!$B$43,Assumptions!$B$44))*(1-G34*0.9)/1000000*Assumptions!$B$46+Assumptions!$B$45/1000000*Assumptions!$B$47)*Assumptions!$B$48*(1-Assumptions!$B$49)+((IF(B34="Y1",Assumptions!$B$35,IF(B34="Y2",Assumptions!$B$36,Assumptions!$B$37)))/1000000*Assumptions!$B$39+Assumptions!$B$38/1000000*Assumptions!$B$40)*Assumptions!$B$48*Assumptions!$B$49+Assumptions!$B$56*Assumptions!$B$57)*F34*Assumptions!$B$4</f>
        <v>246.6942192</v>
      </c>
      <c r="J34" s="14" t="n">
        <f aca="false">((IF(B34="Y1",Assumptions!$B$42,IF(B34="Y2",Assumptions!$B$43,Assumptions!$B$44))*(1-G34*0.9)/1000000*Assumptions!$B$46+Assumptions!$B$45/1000000*Assumptions!$B$47)*Assumptions!$B$48*(1-Assumptions!$B$49)+((IF(B34="Y1",Assumptions!$B$35,IF(B34="Y2",Assumptions!$B$36,Assumptions!$B$37)))/1000000*Assumptions!$B$39+Assumptions!$B$38/1000000*Assumptions!$B$40)*Assumptions!$B$48*Assumptions!$B$49+Assumptions!$B$56*Assumptions!$B$58)*F34*Assumptions!$B$4</f>
        <v>250.6581792</v>
      </c>
      <c r="K34" s="14" t="n">
        <f aca="false">C34*H34</f>
        <v>59262.33456</v>
      </c>
      <c r="L34" s="14" t="n">
        <f aca="false">D34*I34</f>
        <v>234606.2024592</v>
      </c>
      <c r="M34" s="14" t="n">
        <f aca="false">E34*J34</f>
        <v>43865.18136</v>
      </c>
      <c r="N34" s="16" t="n">
        <f aca="false">K34+L34+M34</f>
        <v>337733.7183792</v>
      </c>
    </row>
    <row r="35" customFormat="false" ht="15" hidden="false" customHeight="false" outlineLevel="0" collapsed="false">
      <c r="A35" s="20" t="n">
        <v>34</v>
      </c>
      <c r="B35" s="20" t="s">
        <v>101</v>
      </c>
      <c r="C35" s="24" t="n">
        <f aca="false">'User Growth'!D35</f>
        <v>1487</v>
      </c>
      <c r="D35" s="24" t="n">
        <f aca="false">'User Growth'!E35</f>
        <v>1027</v>
      </c>
      <c r="E35" s="24" t="n">
        <f aca="false">'User Growth'!F35</f>
        <v>189</v>
      </c>
      <c r="F35" s="30" t="n">
        <f aca="false">IF(B35="Y1",Assumptions!$B$53,IF(B35="Y2",Assumptions!$B$54,Assumptions!$B$55))</f>
        <v>1.65</v>
      </c>
      <c r="G35" s="31" t="n">
        <f aca="false">IF(B35="Y1",Assumptions!$B$50,IF(B35="Y2",Assumptions!$B$51,Assumptions!$B$52))</f>
        <v>0.6</v>
      </c>
      <c r="H35" s="28" t="n">
        <f aca="false">((IF(B35="Y1",Assumptions!$B$35,IF(B35="Y2",Assumptions!$B$36,Assumptions!$B$37)))/1000000*Assumptions!$B$39+Assumptions!$B$38/1000000*Assumptions!$B$40)*F35*Assumptions!$B$41*Assumptions!$B$4</f>
        <v>43.03728</v>
      </c>
      <c r="I35" s="28" t="n">
        <f aca="false">((IF(B35="Y1",Assumptions!$B$42,IF(B35="Y2",Assumptions!$B$43,Assumptions!$B$44))*(1-G35*0.9)/1000000*Assumptions!$B$46+Assumptions!$B$45/1000000*Assumptions!$B$47)*Assumptions!$B$48*(1-Assumptions!$B$49)+((IF(B35="Y1",Assumptions!$B$35,IF(B35="Y2",Assumptions!$B$36,Assumptions!$B$37)))/1000000*Assumptions!$B$39+Assumptions!$B$38/1000000*Assumptions!$B$40)*Assumptions!$B$48*Assumptions!$B$49+Assumptions!$B$56*Assumptions!$B$57)*F35*Assumptions!$B$4</f>
        <v>246.6942192</v>
      </c>
      <c r="J35" s="28" t="n">
        <f aca="false">((IF(B35="Y1",Assumptions!$B$42,IF(B35="Y2",Assumptions!$B$43,Assumptions!$B$44))*(1-G35*0.9)/1000000*Assumptions!$B$46+Assumptions!$B$45/1000000*Assumptions!$B$47)*Assumptions!$B$48*(1-Assumptions!$B$49)+((IF(B35="Y1",Assumptions!$B$35,IF(B35="Y2",Assumptions!$B$36,Assumptions!$B$37)))/1000000*Assumptions!$B$39+Assumptions!$B$38/1000000*Assumptions!$B$40)*Assumptions!$B$48*Assumptions!$B$49+Assumptions!$B$56*Assumptions!$B$58)*F35*Assumptions!$B$4</f>
        <v>250.6581792</v>
      </c>
      <c r="K35" s="28" t="n">
        <f aca="false">C35*H35</f>
        <v>63996.43536</v>
      </c>
      <c r="L35" s="28" t="n">
        <f aca="false">D35*I35</f>
        <v>253354.9631184</v>
      </c>
      <c r="M35" s="28" t="n">
        <f aca="false">E35*J35</f>
        <v>47374.3958688</v>
      </c>
      <c r="N35" s="32" t="n">
        <f aca="false">K35+L35+M35</f>
        <v>364725.7943472</v>
      </c>
    </row>
    <row r="36" customFormat="false" ht="15" hidden="false" customHeight="false" outlineLevel="0" collapsed="false">
      <c r="A36" s="18" t="n">
        <v>35</v>
      </c>
      <c r="B36" s="18" t="s">
        <v>101</v>
      </c>
      <c r="C36" s="25" t="n">
        <f aca="false">'User Growth'!D36</f>
        <v>1605</v>
      </c>
      <c r="D36" s="25" t="n">
        <f aca="false">'User Growth'!E36</f>
        <v>1109</v>
      </c>
      <c r="E36" s="25" t="n">
        <f aca="false">'User Growth'!F36</f>
        <v>204</v>
      </c>
      <c r="F36" s="29" t="n">
        <f aca="false">IF(B36="Y1",Assumptions!$B$53,IF(B36="Y2",Assumptions!$B$54,Assumptions!$B$55))</f>
        <v>1.65</v>
      </c>
      <c r="G36" s="13" t="n">
        <f aca="false">IF(B36="Y1",Assumptions!$B$50,IF(B36="Y2",Assumptions!$B$51,Assumptions!$B$52))</f>
        <v>0.6</v>
      </c>
      <c r="H36" s="14" t="n">
        <f aca="false">((IF(B36="Y1",Assumptions!$B$35,IF(B36="Y2",Assumptions!$B$36,Assumptions!$B$37)))/1000000*Assumptions!$B$39+Assumptions!$B$38/1000000*Assumptions!$B$40)*F36*Assumptions!$B$41*Assumptions!$B$4</f>
        <v>43.03728</v>
      </c>
      <c r="I36" s="14" t="n">
        <f aca="false">((IF(B36="Y1",Assumptions!$B$42,IF(B36="Y2",Assumptions!$B$43,Assumptions!$B$44))*(1-G36*0.9)/1000000*Assumptions!$B$46+Assumptions!$B$45/1000000*Assumptions!$B$47)*Assumptions!$B$48*(1-Assumptions!$B$49)+((IF(B36="Y1",Assumptions!$B$35,IF(B36="Y2",Assumptions!$B$36,Assumptions!$B$37)))/1000000*Assumptions!$B$39+Assumptions!$B$38/1000000*Assumptions!$B$40)*Assumptions!$B$48*Assumptions!$B$49+Assumptions!$B$56*Assumptions!$B$57)*F36*Assumptions!$B$4</f>
        <v>246.6942192</v>
      </c>
      <c r="J36" s="14" t="n">
        <f aca="false">((IF(B36="Y1",Assumptions!$B$42,IF(B36="Y2",Assumptions!$B$43,Assumptions!$B$44))*(1-G36*0.9)/1000000*Assumptions!$B$46+Assumptions!$B$45/1000000*Assumptions!$B$47)*Assumptions!$B$48*(1-Assumptions!$B$49)+((IF(B36="Y1",Assumptions!$B$35,IF(B36="Y2",Assumptions!$B$36,Assumptions!$B$37)))/1000000*Assumptions!$B$39+Assumptions!$B$38/1000000*Assumptions!$B$40)*Assumptions!$B$48*Assumptions!$B$49+Assumptions!$B$56*Assumptions!$B$58)*F36*Assumptions!$B$4</f>
        <v>250.6581792</v>
      </c>
      <c r="K36" s="14" t="n">
        <f aca="false">C36*H36</f>
        <v>69074.8344</v>
      </c>
      <c r="L36" s="14" t="n">
        <f aca="false">D36*I36</f>
        <v>273583.8890928</v>
      </c>
      <c r="M36" s="14" t="n">
        <f aca="false">E36*J36</f>
        <v>51134.2685568</v>
      </c>
      <c r="N36" s="16" t="n">
        <f aca="false">K36+L36+M36</f>
        <v>393792.9920496</v>
      </c>
    </row>
    <row r="37" customFormat="false" ht="15" hidden="false" customHeight="false" outlineLevel="0" collapsed="false">
      <c r="A37" s="20" t="n">
        <v>36</v>
      </c>
      <c r="B37" s="20" t="s">
        <v>101</v>
      </c>
      <c r="C37" s="24" t="n">
        <f aca="false">'User Growth'!D37</f>
        <v>1733</v>
      </c>
      <c r="D37" s="24" t="n">
        <f aca="false">'User Growth'!E37</f>
        <v>1197</v>
      </c>
      <c r="E37" s="24" t="n">
        <f aca="false">'User Growth'!F37</f>
        <v>221</v>
      </c>
      <c r="F37" s="30" t="n">
        <f aca="false">IF(B37="Y1",Assumptions!$B$53,IF(B37="Y2",Assumptions!$B$54,Assumptions!$B$55))</f>
        <v>1.65</v>
      </c>
      <c r="G37" s="31" t="n">
        <f aca="false">IF(B37="Y1",Assumptions!$B$50,IF(B37="Y2",Assumptions!$B$51,Assumptions!$B$52))</f>
        <v>0.6</v>
      </c>
      <c r="H37" s="28" t="n">
        <f aca="false">((IF(B37="Y1",Assumptions!$B$35,IF(B37="Y2",Assumptions!$B$36,Assumptions!$B$37)))/1000000*Assumptions!$B$39+Assumptions!$B$38/1000000*Assumptions!$B$40)*F37*Assumptions!$B$41*Assumptions!$B$4</f>
        <v>43.03728</v>
      </c>
      <c r="I37" s="28" t="n">
        <f aca="false">((IF(B37="Y1",Assumptions!$B$42,IF(B37="Y2",Assumptions!$B$43,Assumptions!$B$44))*(1-G37*0.9)/1000000*Assumptions!$B$46+Assumptions!$B$45/1000000*Assumptions!$B$47)*Assumptions!$B$48*(1-Assumptions!$B$49)+((IF(B37="Y1",Assumptions!$B$35,IF(B37="Y2",Assumptions!$B$36,Assumptions!$B$37)))/1000000*Assumptions!$B$39+Assumptions!$B$38/1000000*Assumptions!$B$40)*Assumptions!$B$48*Assumptions!$B$49+Assumptions!$B$56*Assumptions!$B$57)*F37*Assumptions!$B$4</f>
        <v>246.6942192</v>
      </c>
      <c r="J37" s="28" t="n">
        <f aca="false">((IF(B37="Y1",Assumptions!$B$42,IF(B37="Y2",Assumptions!$B$43,Assumptions!$B$44))*(1-G37*0.9)/1000000*Assumptions!$B$46+Assumptions!$B$45/1000000*Assumptions!$B$47)*Assumptions!$B$48*(1-Assumptions!$B$49)+((IF(B37="Y1",Assumptions!$B$35,IF(B37="Y2",Assumptions!$B$36,Assumptions!$B$37)))/1000000*Assumptions!$B$39+Assumptions!$B$38/1000000*Assumptions!$B$40)*Assumptions!$B$48*Assumptions!$B$49+Assumptions!$B$56*Assumptions!$B$58)*F37*Assumptions!$B$4</f>
        <v>250.6581792</v>
      </c>
      <c r="K37" s="28" t="n">
        <f aca="false">C37*H37</f>
        <v>74583.60624</v>
      </c>
      <c r="L37" s="28" t="n">
        <f aca="false">D37*I37</f>
        <v>295292.9803824</v>
      </c>
      <c r="M37" s="28" t="n">
        <f aca="false">E37*J37</f>
        <v>55395.4576032</v>
      </c>
      <c r="N37" s="32" t="n">
        <f aca="false">K37+L37+M37</f>
        <v>425272.0442256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17" t="s">
        <v>106</v>
      </c>
      <c r="B1" s="17" t="s">
        <v>107</v>
      </c>
      <c r="C1" s="17" t="s">
        <v>135</v>
      </c>
      <c r="D1" s="17" t="s">
        <v>136</v>
      </c>
      <c r="E1" s="17" t="s">
        <v>137</v>
      </c>
      <c r="F1" s="17" t="s">
        <v>138</v>
      </c>
      <c r="G1" s="17" t="s">
        <v>139</v>
      </c>
      <c r="H1" s="17" t="s">
        <v>140</v>
      </c>
      <c r="I1" s="17" t="s">
        <v>141</v>
      </c>
      <c r="J1" s="17" t="s">
        <v>142</v>
      </c>
    </row>
    <row r="2" customFormat="false" ht="15" hidden="false" customHeight="false" outlineLevel="0" collapsed="false">
      <c r="A2" s="18" t="n">
        <v>1</v>
      </c>
      <c r="B2" s="18" t="s">
        <v>99</v>
      </c>
      <c r="C2" s="14" t="n">
        <f aca="false">IF(A2&lt;=6,Assumptions!$B$68,Assumptions!$B$69)</f>
        <v>0</v>
      </c>
      <c r="D2" s="14" t="n">
        <f aca="false">IF(A2&lt;=9,Assumptions!$B$70,Assumptions!$B$71)</f>
        <v>0</v>
      </c>
      <c r="E2" s="14" t="n">
        <f aca="false">IF(A2&lt;=6,Assumptions!$B$72,Assumptions!$B$73)</f>
        <v>0</v>
      </c>
      <c r="F2" s="14" t="n">
        <f aca="false">Assumptions!$B$74</f>
        <v>0</v>
      </c>
      <c r="G2" s="14" t="n">
        <f aca="false">Assumptions!$B$75</f>
        <v>0</v>
      </c>
      <c r="H2" s="14" t="n">
        <f aca="false">Assumptions!$B$76</f>
        <v>500</v>
      </c>
      <c r="I2" s="14" t="n">
        <f aca="false">Assumptions!$B$77</f>
        <v>500</v>
      </c>
      <c r="J2" s="16" t="n">
        <f aca="false">SUM(C2:I2)</f>
        <v>1000</v>
      </c>
    </row>
    <row r="3" customFormat="false" ht="15" hidden="false" customHeight="false" outlineLevel="0" collapsed="false">
      <c r="A3" s="20" t="n">
        <v>2</v>
      </c>
      <c r="B3" s="20" t="s">
        <v>99</v>
      </c>
      <c r="C3" s="28" t="n">
        <f aca="false">IF(A3&lt;=6,Assumptions!$B$68,Assumptions!$B$69)</f>
        <v>0</v>
      </c>
      <c r="D3" s="28" t="n">
        <f aca="false">IF(A3&lt;=9,Assumptions!$B$70,Assumptions!$B$71)</f>
        <v>0</v>
      </c>
      <c r="E3" s="28" t="n">
        <f aca="false">IF(A3&lt;=6,Assumptions!$B$72,Assumptions!$B$73)</f>
        <v>0</v>
      </c>
      <c r="F3" s="28" t="n">
        <f aca="false">Assumptions!$B$74</f>
        <v>0</v>
      </c>
      <c r="G3" s="28" t="n">
        <f aca="false">Assumptions!$B$75</f>
        <v>0</v>
      </c>
      <c r="H3" s="28" t="n">
        <f aca="false">Assumptions!$B$76</f>
        <v>500</v>
      </c>
      <c r="I3" s="28" t="n">
        <f aca="false">Assumptions!$B$77</f>
        <v>500</v>
      </c>
      <c r="J3" s="32" t="n">
        <f aca="false">SUM(C3:I3)</f>
        <v>1000</v>
      </c>
    </row>
    <row r="4" customFormat="false" ht="15" hidden="false" customHeight="false" outlineLevel="0" collapsed="false">
      <c r="A4" s="18" t="n">
        <v>3</v>
      </c>
      <c r="B4" s="18" t="s">
        <v>99</v>
      </c>
      <c r="C4" s="14" t="n">
        <f aca="false">IF(A4&lt;=6,Assumptions!$B$68,Assumptions!$B$69)</f>
        <v>0</v>
      </c>
      <c r="D4" s="14" t="n">
        <f aca="false">IF(A4&lt;=9,Assumptions!$B$70,Assumptions!$B$71)</f>
        <v>0</v>
      </c>
      <c r="E4" s="14" t="n">
        <f aca="false">IF(A4&lt;=6,Assumptions!$B$72,Assumptions!$B$73)</f>
        <v>0</v>
      </c>
      <c r="F4" s="14" t="n">
        <f aca="false">Assumptions!$B$74</f>
        <v>0</v>
      </c>
      <c r="G4" s="14" t="n">
        <f aca="false">Assumptions!$B$75</f>
        <v>0</v>
      </c>
      <c r="H4" s="14" t="n">
        <f aca="false">Assumptions!$B$76</f>
        <v>500</v>
      </c>
      <c r="I4" s="14" t="n">
        <f aca="false">Assumptions!$B$77</f>
        <v>500</v>
      </c>
      <c r="J4" s="16" t="n">
        <f aca="false">SUM(C4:I4)</f>
        <v>1000</v>
      </c>
    </row>
    <row r="5" customFormat="false" ht="15" hidden="false" customHeight="false" outlineLevel="0" collapsed="false">
      <c r="A5" s="20" t="n">
        <v>4</v>
      </c>
      <c r="B5" s="20" t="s">
        <v>99</v>
      </c>
      <c r="C5" s="28" t="n">
        <f aca="false">IF(A5&lt;=6,Assumptions!$B$68,Assumptions!$B$69)</f>
        <v>0</v>
      </c>
      <c r="D5" s="28" t="n">
        <f aca="false">IF(A5&lt;=9,Assumptions!$B$70,Assumptions!$B$71)</f>
        <v>0</v>
      </c>
      <c r="E5" s="28" t="n">
        <f aca="false">IF(A5&lt;=6,Assumptions!$B$72,Assumptions!$B$73)</f>
        <v>0</v>
      </c>
      <c r="F5" s="28" t="n">
        <f aca="false">Assumptions!$B$74</f>
        <v>0</v>
      </c>
      <c r="G5" s="28" t="n">
        <f aca="false">Assumptions!$B$75</f>
        <v>0</v>
      </c>
      <c r="H5" s="28" t="n">
        <f aca="false">Assumptions!$B$76</f>
        <v>500</v>
      </c>
      <c r="I5" s="28" t="n">
        <f aca="false">Assumptions!$B$77</f>
        <v>500</v>
      </c>
      <c r="J5" s="32" t="n">
        <f aca="false">SUM(C5:I5)</f>
        <v>1000</v>
      </c>
    </row>
    <row r="6" customFormat="false" ht="15" hidden="false" customHeight="false" outlineLevel="0" collapsed="false">
      <c r="A6" s="18" t="n">
        <v>5</v>
      </c>
      <c r="B6" s="18" t="s">
        <v>99</v>
      </c>
      <c r="C6" s="14" t="n">
        <f aca="false">IF(A6&lt;=6,Assumptions!$B$68,Assumptions!$B$69)</f>
        <v>0</v>
      </c>
      <c r="D6" s="14" t="n">
        <f aca="false">IF(A6&lt;=9,Assumptions!$B$70,Assumptions!$B$71)</f>
        <v>0</v>
      </c>
      <c r="E6" s="14" t="n">
        <f aca="false">IF(A6&lt;=6,Assumptions!$B$72,Assumptions!$B$73)</f>
        <v>0</v>
      </c>
      <c r="F6" s="14" t="n">
        <f aca="false">Assumptions!$B$74</f>
        <v>0</v>
      </c>
      <c r="G6" s="14" t="n">
        <f aca="false">Assumptions!$B$75</f>
        <v>0</v>
      </c>
      <c r="H6" s="14" t="n">
        <f aca="false">Assumptions!$B$76</f>
        <v>500</v>
      </c>
      <c r="I6" s="14" t="n">
        <f aca="false">Assumptions!$B$77</f>
        <v>500</v>
      </c>
      <c r="J6" s="16" t="n">
        <f aca="false">SUM(C6:I6)</f>
        <v>1000</v>
      </c>
    </row>
    <row r="7" customFormat="false" ht="15" hidden="false" customHeight="false" outlineLevel="0" collapsed="false">
      <c r="A7" s="20" t="n">
        <v>6</v>
      </c>
      <c r="B7" s="20" t="s">
        <v>99</v>
      </c>
      <c r="C7" s="28" t="n">
        <f aca="false">IF(A7&lt;=6,Assumptions!$B$68,Assumptions!$B$69)</f>
        <v>0</v>
      </c>
      <c r="D7" s="28" t="n">
        <f aca="false">IF(A7&lt;=9,Assumptions!$B$70,Assumptions!$B$71)</f>
        <v>0</v>
      </c>
      <c r="E7" s="28" t="n">
        <f aca="false">IF(A7&lt;=6,Assumptions!$B$72,Assumptions!$B$73)</f>
        <v>0</v>
      </c>
      <c r="F7" s="28" t="n">
        <f aca="false">Assumptions!$B$74</f>
        <v>0</v>
      </c>
      <c r="G7" s="28" t="n">
        <f aca="false">Assumptions!$B$75</f>
        <v>0</v>
      </c>
      <c r="H7" s="28" t="n">
        <f aca="false">Assumptions!$B$76</f>
        <v>500</v>
      </c>
      <c r="I7" s="28" t="n">
        <f aca="false">Assumptions!$B$77</f>
        <v>500</v>
      </c>
      <c r="J7" s="32" t="n">
        <f aca="false">SUM(C7:I7)</f>
        <v>1000</v>
      </c>
    </row>
    <row r="8" customFormat="false" ht="15" hidden="false" customHeight="false" outlineLevel="0" collapsed="false">
      <c r="A8" s="18" t="n">
        <v>7</v>
      </c>
      <c r="B8" s="18" t="s">
        <v>99</v>
      </c>
      <c r="C8" s="14" t="n">
        <f aca="false">IF(A8&lt;=6,Assumptions!$B$68,Assumptions!$B$69)</f>
        <v>286</v>
      </c>
      <c r="D8" s="14" t="n">
        <f aca="false">IF(A8&lt;=9,Assumptions!$B$70,Assumptions!$B$71)</f>
        <v>0</v>
      </c>
      <c r="E8" s="14" t="n">
        <f aca="false">IF(A8&lt;=6,Assumptions!$B$72,Assumptions!$B$73)</f>
        <v>572</v>
      </c>
      <c r="F8" s="14" t="n">
        <f aca="false">Assumptions!$B$74</f>
        <v>0</v>
      </c>
      <c r="G8" s="14" t="n">
        <f aca="false">Assumptions!$B$75</f>
        <v>0</v>
      </c>
      <c r="H8" s="14" t="n">
        <f aca="false">Assumptions!$B$76</f>
        <v>500</v>
      </c>
      <c r="I8" s="14" t="n">
        <f aca="false">Assumptions!$B$77</f>
        <v>500</v>
      </c>
      <c r="J8" s="16" t="n">
        <f aca="false">SUM(C8:I8)</f>
        <v>1858</v>
      </c>
    </row>
    <row r="9" customFormat="false" ht="15" hidden="false" customHeight="false" outlineLevel="0" collapsed="false">
      <c r="A9" s="20" t="n">
        <v>8</v>
      </c>
      <c r="B9" s="20" t="s">
        <v>99</v>
      </c>
      <c r="C9" s="28" t="n">
        <f aca="false">IF(A9&lt;=6,Assumptions!$B$68,Assumptions!$B$69)</f>
        <v>286</v>
      </c>
      <c r="D9" s="28" t="n">
        <f aca="false">IF(A9&lt;=9,Assumptions!$B$70,Assumptions!$B$71)</f>
        <v>0</v>
      </c>
      <c r="E9" s="28" t="n">
        <f aca="false">IF(A9&lt;=6,Assumptions!$B$72,Assumptions!$B$73)</f>
        <v>572</v>
      </c>
      <c r="F9" s="28" t="n">
        <f aca="false">Assumptions!$B$74</f>
        <v>0</v>
      </c>
      <c r="G9" s="28" t="n">
        <f aca="false">Assumptions!$B$75</f>
        <v>0</v>
      </c>
      <c r="H9" s="28" t="n">
        <f aca="false">Assumptions!$B$76</f>
        <v>500</v>
      </c>
      <c r="I9" s="28" t="n">
        <f aca="false">Assumptions!$B$77</f>
        <v>500</v>
      </c>
      <c r="J9" s="32" t="n">
        <f aca="false">SUM(C9:I9)</f>
        <v>1858</v>
      </c>
    </row>
    <row r="10" customFormat="false" ht="15" hidden="false" customHeight="false" outlineLevel="0" collapsed="false">
      <c r="A10" s="18" t="n">
        <v>9</v>
      </c>
      <c r="B10" s="18" t="s">
        <v>99</v>
      </c>
      <c r="C10" s="14" t="n">
        <f aca="false">IF(A10&lt;=6,Assumptions!$B$68,Assumptions!$B$69)</f>
        <v>286</v>
      </c>
      <c r="D10" s="14" t="n">
        <f aca="false">IF(A10&lt;=9,Assumptions!$B$70,Assumptions!$B$71)</f>
        <v>0</v>
      </c>
      <c r="E10" s="14" t="n">
        <f aca="false">IF(A10&lt;=6,Assumptions!$B$72,Assumptions!$B$73)</f>
        <v>572</v>
      </c>
      <c r="F10" s="14" t="n">
        <f aca="false">Assumptions!$B$74</f>
        <v>0</v>
      </c>
      <c r="G10" s="14" t="n">
        <f aca="false">Assumptions!$B$75</f>
        <v>0</v>
      </c>
      <c r="H10" s="14" t="n">
        <f aca="false">Assumptions!$B$76</f>
        <v>500</v>
      </c>
      <c r="I10" s="14" t="n">
        <f aca="false">Assumptions!$B$77</f>
        <v>500</v>
      </c>
      <c r="J10" s="16" t="n">
        <f aca="false">SUM(C10:I10)</f>
        <v>1858</v>
      </c>
    </row>
    <row r="11" customFormat="false" ht="15" hidden="false" customHeight="false" outlineLevel="0" collapsed="false">
      <c r="A11" s="20" t="n">
        <v>10</v>
      </c>
      <c r="B11" s="20" t="s">
        <v>99</v>
      </c>
      <c r="C11" s="28" t="n">
        <f aca="false">IF(A11&lt;=6,Assumptions!$B$68,Assumptions!$B$69)</f>
        <v>286</v>
      </c>
      <c r="D11" s="28" t="n">
        <f aca="false">IF(A11&lt;=9,Assumptions!$B$70,Assumptions!$B$71)</f>
        <v>1430</v>
      </c>
      <c r="E11" s="28" t="n">
        <f aca="false">IF(A11&lt;=6,Assumptions!$B$72,Assumptions!$B$73)</f>
        <v>572</v>
      </c>
      <c r="F11" s="28" t="n">
        <f aca="false">Assumptions!$B$74</f>
        <v>0</v>
      </c>
      <c r="G11" s="28" t="n">
        <f aca="false">Assumptions!$B$75</f>
        <v>0</v>
      </c>
      <c r="H11" s="28" t="n">
        <f aca="false">Assumptions!$B$76</f>
        <v>500</v>
      </c>
      <c r="I11" s="28" t="n">
        <f aca="false">Assumptions!$B$77</f>
        <v>500</v>
      </c>
      <c r="J11" s="32" t="n">
        <f aca="false">SUM(C11:I11)</f>
        <v>3288</v>
      </c>
    </row>
    <row r="12" customFormat="false" ht="15" hidden="false" customHeight="false" outlineLevel="0" collapsed="false">
      <c r="A12" s="18" t="n">
        <v>11</v>
      </c>
      <c r="B12" s="18" t="s">
        <v>99</v>
      </c>
      <c r="C12" s="14" t="n">
        <f aca="false">IF(A12&lt;=6,Assumptions!$B$68,Assumptions!$B$69)</f>
        <v>286</v>
      </c>
      <c r="D12" s="14" t="n">
        <f aca="false">IF(A12&lt;=9,Assumptions!$B$70,Assumptions!$B$71)</f>
        <v>1430</v>
      </c>
      <c r="E12" s="14" t="n">
        <f aca="false">IF(A12&lt;=6,Assumptions!$B$72,Assumptions!$B$73)</f>
        <v>572</v>
      </c>
      <c r="F12" s="14" t="n">
        <f aca="false">Assumptions!$B$74</f>
        <v>0</v>
      </c>
      <c r="G12" s="14" t="n">
        <f aca="false">Assumptions!$B$75</f>
        <v>0</v>
      </c>
      <c r="H12" s="14" t="n">
        <f aca="false">Assumptions!$B$76</f>
        <v>500</v>
      </c>
      <c r="I12" s="14" t="n">
        <f aca="false">Assumptions!$B$77</f>
        <v>500</v>
      </c>
      <c r="J12" s="16" t="n">
        <f aca="false">SUM(C12:I12)</f>
        <v>3288</v>
      </c>
    </row>
    <row r="13" customFormat="false" ht="15" hidden="false" customHeight="false" outlineLevel="0" collapsed="false">
      <c r="A13" s="20" t="n">
        <v>12</v>
      </c>
      <c r="B13" s="20" t="s">
        <v>99</v>
      </c>
      <c r="C13" s="28" t="n">
        <f aca="false">IF(A13&lt;=6,Assumptions!$B$68,Assumptions!$B$69)</f>
        <v>286</v>
      </c>
      <c r="D13" s="28" t="n">
        <f aca="false">IF(A13&lt;=9,Assumptions!$B$70,Assumptions!$B$71)</f>
        <v>1430</v>
      </c>
      <c r="E13" s="28" t="n">
        <f aca="false">IF(A13&lt;=6,Assumptions!$B$72,Assumptions!$B$73)</f>
        <v>572</v>
      </c>
      <c r="F13" s="28" t="n">
        <f aca="false">Assumptions!$B$74</f>
        <v>0</v>
      </c>
      <c r="G13" s="28" t="n">
        <f aca="false">Assumptions!$B$75</f>
        <v>0</v>
      </c>
      <c r="H13" s="28" t="n">
        <f aca="false">Assumptions!$B$76</f>
        <v>500</v>
      </c>
      <c r="I13" s="28" t="n">
        <f aca="false">Assumptions!$B$77</f>
        <v>500</v>
      </c>
      <c r="J13" s="32" t="n">
        <f aca="false">SUM(C13:I13)</f>
        <v>3288</v>
      </c>
    </row>
    <row r="14" customFormat="false" ht="15" hidden="false" customHeight="false" outlineLevel="0" collapsed="false">
      <c r="A14" s="18" t="n">
        <v>13</v>
      </c>
      <c r="B14" s="18" t="s">
        <v>100</v>
      </c>
      <c r="C14" s="14" t="n">
        <f aca="false">IF(A14&lt;=6,Assumptions!$B$68,Assumptions!$B$69)</f>
        <v>286</v>
      </c>
      <c r="D14" s="14" t="n">
        <f aca="false">IF(A14&lt;=9,Assumptions!$B$70,Assumptions!$B$71)</f>
        <v>1430</v>
      </c>
      <c r="E14" s="14" t="n">
        <f aca="false">IF(A14&lt;=6,Assumptions!$B$72,Assumptions!$B$73)</f>
        <v>572</v>
      </c>
      <c r="F14" s="14" t="n">
        <f aca="false">Assumptions!$B$74</f>
        <v>0</v>
      </c>
      <c r="G14" s="14" t="n">
        <f aca="false">Assumptions!$B$75</f>
        <v>0</v>
      </c>
      <c r="H14" s="14" t="n">
        <f aca="false">Assumptions!$B$76</f>
        <v>500</v>
      </c>
      <c r="I14" s="14" t="n">
        <f aca="false">Assumptions!$B$77</f>
        <v>500</v>
      </c>
      <c r="J14" s="16" t="n">
        <f aca="false">SUM(C14:I14)</f>
        <v>3288</v>
      </c>
    </row>
    <row r="15" customFormat="false" ht="15" hidden="false" customHeight="false" outlineLevel="0" collapsed="false">
      <c r="A15" s="20" t="n">
        <v>14</v>
      </c>
      <c r="B15" s="20" t="s">
        <v>100</v>
      </c>
      <c r="C15" s="28" t="n">
        <f aca="false">IF(A15&lt;=6,Assumptions!$B$68,Assumptions!$B$69)</f>
        <v>286</v>
      </c>
      <c r="D15" s="28" t="n">
        <f aca="false">IF(A15&lt;=9,Assumptions!$B$70,Assumptions!$B$71)</f>
        <v>1430</v>
      </c>
      <c r="E15" s="28" t="n">
        <f aca="false">IF(A15&lt;=6,Assumptions!$B$72,Assumptions!$B$73)</f>
        <v>572</v>
      </c>
      <c r="F15" s="28" t="n">
        <f aca="false">Assumptions!$B$74</f>
        <v>0</v>
      </c>
      <c r="G15" s="28" t="n">
        <f aca="false">Assumptions!$B$75</f>
        <v>0</v>
      </c>
      <c r="H15" s="28" t="n">
        <f aca="false">Assumptions!$B$76</f>
        <v>500</v>
      </c>
      <c r="I15" s="28" t="n">
        <f aca="false">Assumptions!$B$77</f>
        <v>500</v>
      </c>
      <c r="J15" s="32" t="n">
        <f aca="false">SUM(C15:I15)</f>
        <v>3288</v>
      </c>
    </row>
    <row r="16" customFormat="false" ht="15" hidden="false" customHeight="false" outlineLevel="0" collapsed="false">
      <c r="A16" s="18" t="n">
        <v>15</v>
      </c>
      <c r="B16" s="18" t="s">
        <v>100</v>
      </c>
      <c r="C16" s="14" t="n">
        <f aca="false">IF(A16&lt;=6,Assumptions!$B$68,Assumptions!$B$69)</f>
        <v>286</v>
      </c>
      <c r="D16" s="14" t="n">
        <f aca="false">IF(A16&lt;=9,Assumptions!$B$70,Assumptions!$B$71)</f>
        <v>1430</v>
      </c>
      <c r="E16" s="14" t="n">
        <f aca="false">IF(A16&lt;=6,Assumptions!$B$72,Assumptions!$B$73)</f>
        <v>572</v>
      </c>
      <c r="F16" s="14" t="n">
        <f aca="false">Assumptions!$B$74</f>
        <v>0</v>
      </c>
      <c r="G16" s="14" t="n">
        <f aca="false">Assumptions!$B$75</f>
        <v>0</v>
      </c>
      <c r="H16" s="14" t="n">
        <f aca="false">Assumptions!$B$76</f>
        <v>500</v>
      </c>
      <c r="I16" s="14" t="n">
        <f aca="false">Assumptions!$B$77</f>
        <v>500</v>
      </c>
      <c r="J16" s="16" t="n">
        <f aca="false">SUM(C16:I16)</f>
        <v>3288</v>
      </c>
    </row>
    <row r="17" customFormat="false" ht="15" hidden="false" customHeight="false" outlineLevel="0" collapsed="false">
      <c r="A17" s="20" t="n">
        <v>16</v>
      </c>
      <c r="B17" s="20" t="s">
        <v>100</v>
      </c>
      <c r="C17" s="28" t="n">
        <f aca="false">IF(A17&lt;=6,Assumptions!$B$68,Assumptions!$B$69)</f>
        <v>286</v>
      </c>
      <c r="D17" s="28" t="n">
        <f aca="false">IF(A17&lt;=9,Assumptions!$B$70,Assumptions!$B$71)</f>
        <v>1430</v>
      </c>
      <c r="E17" s="28" t="n">
        <f aca="false">IF(A17&lt;=6,Assumptions!$B$72,Assumptions!$B$73)</f>
        <v>572</v>
      </c>
      <c r="F17" s="28" t="n">
        <f aca="false">Assumptions!$B$74</f>
        <v>0</v>
      </c>
      <c r="G17" s="28" t="n">
        <f aca="false">Assumptions!$B$75</f>
        <v>0</v>
      </c>
      <c r="H17" s="28" t="n">
        <f aca="false">Assumptions!$B$76</f>
        <v>500</v>
      </c>
      <c r="I17" s="28" t="n">
        <f aca="false">Assumptions!$B$77</f>
        <v>500</v>
      </c>
      <c r="J17" s="32" t="n">
        <f aca="false">SUM(C17:I17)</f>
        <v>3288</v>
      </c>
    </row>
    <row r="18" customFormat="false" ht="15" hidden="false" customHeight="false" outlineLevel="0" collapsed="false">
      <c r="A18" s="18" t="n">
        <v>17</v>
      </c>
      <c r="B18" s="18" t="s">
        <v>100</v>
      </c>
      <c r="C18" s="14" t="n">
        <f aca="false">IF(A18&lt;=6,Assumptions!$B$68,Assumptions!$B$69)</f>
        <v>286</v>
      </c>
      <c r="D18" s="14" t="n">
        <f aca="false">IF(A18&lt;=9,Assumptions!$B$70,Assumptions!$B$71)</f>
        <v>1430</v>
      </c>
      <c r="E18" s="14" t="n">
        <f aca="false">IF(A18&lt;=6,Assumptions!$B$72,Assumptions!$B$73)</f>
        <v>572</v>
      </c>
      <c r="F18" s="14" t="n">
        <f aca="false">Assumptions!$B$74</f>
        <v>0</v>
      </c>
      <c r="G18" s="14" t="n">
        <f aca="false">Assumptions!$B$75</f>
        <v>0</v>
      </c>
      <c r="H18" s="14" t="n">
        <f aca="false">Assumptions!$B$76</f>
        <v>500</v>
      </c>
      <c r="I18" s="14" t="n">
        <f aca="false">Assumptions!$B$77</f>
        <v>500</v>
      </c>
      <c r="J18" s="16" t="n">
        <f aca="false">SUM(C18:I18)</f>
        <v>3288</v>
      </c>
    </row>
    <row r="19" customFormat="false" ht="15" hidden="false" customHeight="false" outlineLevel="0" collapsed="false">
      <c r="A19" s="20" t="n">
        <v>18</v>
      </c>
      <c r="B19" s="20" t="s">
        <v>100</v>
      </c>
      <c r="C19" s="28" t="n">
        <f aca="false">IF(A19&lt;=6,Assumptions!$B$68,Assumptions!$B$69)</f>
        <v>286</v>
      </c>
      <c r="D19" s="28" t="n">
        <f aca="false">IF(A19&lt;=9,Assumptions!$B$70,Assumptions!$B$71)</f>
        <v>1430</v>
      </c>
      <c r="E19" s="28" t="n">
        <f aca="false">IF(A19&lt;=6,Assumptions!$B$72,Assumptions!$B$73)</f>
        <v>572</v>
      </c>
      <c r="F19" s="28" t="n">
        <f aca="false">Assumptions!$B$74</f>
        <v>0</v>
      </c>
      <c r="G19" s="28" t="n">
        <f aca="false">Assumptions!$B$75</f>
        <v>0</v>
      </c>
      <c r="H19" s="28" t="n">
        <f aca="false">Assumptions!$B$76</f>
        <v>500</v>
      </c>
      <c r="I19" s="28" t="n">
        <f aca="false">Assumptions!$B$77</f>
        <v>500</v>
      </c>
      <c r="J19" s="32" t="n">
        <f aca="false">SUM(C19:I19)</f>
        <v>3288</v>
      </c>
    </row>
    <row r="20" customFormat="false" ht="15" hidden="false" customHeight="false" outlineLevel="0" collapsed="false">
      <c r="A20" s="18" t="n">
        <v>19</v>
      </c>
      <c r="B20" s="18" t="s">
        <v>100</v>
      </c>
      <c r="C20" s="14" t="n">
        <f aca="false">IF(A20&lt;=6,Assumptions!$B$68,Assumptions!$B$69)</f>
        <v>286</v>
      </c>
      <c r="D20" s="14" t="n">
        <f aca="false">IF(A20&lt;=9,Assumptions!$B$70,Assumptions!$B$71)</f>
        <v>1430</v>
      </c>
      <c r="E20" s="14" t="n">
        <f aca="false">IF(A20&lt;=6,Assumptions!$B$72,Assumptions!$B$73)</f>
        <v>572</v>
      </c>
      <c r="F20" s="14" t="n">
        <f aca="false">Assumptions!$B$74</f>
        <v>0</v>
      </c>
      <c r="G20" s="14" t="n">
        <f aca="false">Assumptions!$B$75</f>
        <v>0</v>
      </c>
      <c r="H20" s="14" t="n">
        <f aca="false">Assumptions!$B$76</f>
        <v>500</v>
      </c>
      <c r="I20" s="14" t="n">
        <f aca="false">Assumptions!$B$77</f>
        <v>500</v>
      </c>
      <c r="J20" s="16" t="n">
        <f aca="false">SUM(C20:I20)</f>
        <v>3288</v>
      </c>
    </row>
    <row r="21" customFormat="false" ht="15" hidden="false" customHeight="false" outlineLevel="0" collapsed="false">
      <c r="A21" s="20" t="n">
        <v>20</v>
      </c>
      <c r="B21" s="20" t="s">
        <v>100</v>
      </c>
      <c r="C21" s="28" t="n">
        <f aca="false">IF(A21&lt;=6,Assumptions!$B$68,Assumptions!$B$69)</f>
        <v>286</v>
      </c>
      <c r="D21" s="28" t="n">
        <f aca="false">IF(A21&lt;=9,Assumptions!$B$70,Assumptions!$B$71)</f>
        <v>1430</v>
      </c>
      <c r="E21" s="28" t="n">
        <f aca="false">IF(A21&lt;=6,Assumptions!$B$72,Assumptions!$B$73)</f>
        <v>572</v>
      </c>
      <c r="F21" s="28" t="n">
        <f aca="false">Assumptions!$B$74</f>
        <v>0</v>
      </c>
      <c r="G21" s="28" t="n">
        <f aca="false">Assumptions!$B$75</f>
        <v>0</v>
      </c>
      <c r="H21" s="28" t="n">
        <f aca="false">Assumptions!$B$76</f>
        <v>500</v>
      </c>
      <c r="I21" s="28" t="n">
        <f aca="false">Assumptions!$B$77</f>
        <v>500</v>
      </c>
      <c r="J21" s="32" t="n">
        <f aca="false">SUM(C21:I21)</f>
        <v>3288</v>
      </c>
    </row>
    <row r="22" customFormat="false" ht="15" hidden="false" customHeight="false" outlineLevel="0" collapsed="false">
      <c r="A22" s="18" t="n">
        <v>21</v>
      </c>
      <c r="B22" s="18" t="s">
        <v>100</v>
      </c>
      <c r="C22" s="14" t="n">
        <f aca="false">IF(A22&lt;=6,Assumptions!$B$68,Assumptions!$B$69)</f>
        <v>286</v>
      </c>
      <c r="D22" s="14" t="n">
        <f aca="false">IF(A22&lt;=9,Assumptions!$B$70,Assumptions!$B$71)</f>
        <v>1430</v>
      </c>
      <c r="E22" s="14" t="n">
        <f aca="false">IF(A22&lt;=6,Assumptions!$B$72,Assumptions!$B$73)</f>
        <v>572</v>
      </c>
      <c r="F22" s="14" t="n">
        <f aca="false">Assumptions!$B$74</f>
        <v>0</v>
      </c>
      <c r="G22" s="14" t="n">
        <f aca="false">Assumptions!$B$75</f>
        <v>0</v>
      </c>
      <c r="H22" s="14" t="n">
        <f aca="false">Assumptions!$B$76</f>
        <v>500</v>
      </c>
      <c r="I22" s="14" t="n">
        <f aca="false">Assumptions!$B$77</f>
        <v>500</v>
      </c>
      <c r="J22" s="16" t="n">
        <f aca="false">SUM(C22:I22)</f>
        <v>3288</v>
      </c>
    </row>
    <row r="23" customFormat="false" ht="15" hidden="false" customHeight="false" outlineLevel="0" collapsed="false">
      <c r="A23" s="20" t="n">
        <v>22</v>
      </c>
      <c r="B23" s="20" t="s">
        <v>100</v>
      </c>
      <c r="C23" s="28" t="n">
        <f aca="false">IF(A23&lt;=6,Assumptions!$B$68,Assumptions!$B$69)</f>
        <v>286</v>
      </c>
      <c r="D23" s="28" t="n">
        <f aca="false">IF(A23&lt;=9,Assumptions!$B$70,Assumptions!$B$71)</f>
        <v>1430</v>
      </c>
      <c r="E23" s="28" t="n">
        <f aca="false">IF(A23&lt;=6,Assumptions!$B$72,Assumptions!$B$73)</f>
        <v>572</v>
      </c>
      <c r="F23" s="28" t="n">
        <f aca="false">Assumptions!$B$74</f>
        <v>0</v>
      </c>
      <c r="G23" s="28" t="n">
        <f aca="false">Assumptions!$B$75</f>
        <v>0</v>
      </c>
      <c r="H23" s="28" t="n">
        <f aca="false">Assumptions!$B$76</f>
        <v>500</v>
      </c>
      <c r="I23" s="28" t="n">
        <f aca="false">Assumptions!$B$77</f>
        <v>500</v>
      </c>
      <c r="J23" s="32" t="n">
        <f aca="false">SUM(C23:I23)</f>
        <v>3288</v>
      </c>
    </row>
    <row r="24" customFormat="false" ht="15" hidden="false" customHeight="false" outlineLevel="0" collapsed="false">
      <c r="A24" s="18" t="n">
        <v>23</v>
      </c>
      <c r="B24" s="18" t="s">
        <v>100</v>
      </c>
      <c r="C24" s="14" t="n">
        <f aca="false">IF(A24&lt;=6,Assumptions!$B$68,Assumptions!$B$69)</f>
        <v>286</v>
      </c>
      <c r="D24" s="14" t="n">
        <f aca="false">IF(A24&lt;=9,Assumptions!$B$70,Assumptions!$B$71)</f>
        <v>1430</v>
      </c>
      <c r="E24" s="14" t="n">
        <f aca="false">IF(A24&lt;=6,Assumptions!$B$72,Assumptions!$B$73)</f>
        <v>572</v>
      </c>
      <c r="F24" s="14" t="n">
        <f aca="false">Assumptions!$B$74</f>
        <v>0</v>
      </c>
      <c r="G24" s="14" t="n">
        <f aca="false">Assumptions!$B$75</f>
        <v>0</v>
      </c>
      <c r="H24" s="14" t="n">
        <f aca="false">Assumptions!$B$76</f>
        <v>500</v>
      </c>
      <c r="I24" s="14" t="n">
        <f aca="false">Assumptions!$B$77</f>
        <v>500</v>
      </c>
      <c r="J24" s="16" t="n">
        <f aca="false">SUM(C24:I24)</f>
        <v>3288</v>
      </c>
    </row>
    <row r="25" customFormat="false" ht="15" hidden="false" customHeight="false" outlineLevel="0" collapsed="false">
      <c r="A25" s="20" t="n">
        <v>24</v>
      </c>
      <c r="B25" s="20" t="s">
        <v>100</v>
      </c>
      <c r="C25" s="28" t="n">
        <f aca="false">IF(A25&lt;=6,Assumptions!$B$68,Assumptions!$B$69)</f>
        <v>286</v>
      </c>
      <c r="D25" s="28" t="n">
        <f aca="false">IF(A25&lt;=9,Assumptions!$B$70,Assumptions!$B$71)</f>
        <v>1430</v>
      </c>
      <c r="E25" s="28" t="n">
        <f aca="false">IF(A25&lt;=6,Assumptions!$B$72,Assumptions!$B$73)</f>
        <v>572</v>
      </c>
      <c r="F25" s="28" t="n">
        <f aca="false">Assumptions!$B$74</f>
        <v>0</v>
      </c>
      <c r="G25" s="28" t="n">
        <f aca="false">Assumptions!$B$75</f>
        <v>0</v>
      </c>
      <c r="H25" s="28" t="n">
        <f aca="false">Assumptions!$B$76</f>
        <v>500</v>
      </c>
      <c r="I25" s="28" t="n">
        <f aca="false">Assumptions!$B$77</f>
        <v>500</v>
      </c>
      <c r="J25" s="32" t="n">
        <f aca="false">SUM(C25:I25)</f>
        <v>3288</v>
      </c>
    </row>
    <row r="26" customFormat="false" ht="15" hidden="false" customHeight="false" outlineLevel="0" collapsed="false">
      <c r="A26" s="18" t="n">
        <v>25</v>
      </c>
      <c r="B26" s="18" t="s">
        <v>101</v>
      </c>
      <c r="C26" s="14" t="n">
        <f aca="false">IF(A26&lt;=6,Assumptions!$B$68,Assumptions!$B$69)</f>
        <v>286</v>
      </c>
      <c r="D26" s="14" t="n">
        <f aca="false">IF(A26&lt;=9,Assumptions!$B$70,Assumptions!$B$71)</f>
        <v>1430</v>
      </c>
      <c r="E26" s="14" t="n">
        <f aca="false">IF(A26&lt;=6,Assumptions!$B$72,Assumptions!$B$73)</f>
        <v>572</v>
      </c>
      <c r="F26" s="14" t="n">
        <f aca="false">Assumptions!$B$74</f>
        <v>0</v>
      </c>
      <c r="G26" s="14" t="n">
        <f aca="false">Assumptions!$B$75</f>
        <v>0</v>
      </c>
      <c r="H26" s="14" t="n">
        <f aca="false">Assumptions!$B$76</f>
        <v>500</v>
      </c>
      <c r="I26" s="14" t="n">
        <f aca="false">Assumptions!$B$77</f>
        <v>500</v>
      </c>
      <c r="J26" s="16" t="n">
        <f aca="false">SUM(C26:I26)</f>
        <v>3288</v>
      </c>
    </row>
    <row r="27" customFormat="false" ht="15" hidden="false" customHeight="false" outlineLevel="0" collapsed="false">
      <c r="A27" s="20" t="n">
        <v>26</v>
      </c>
      <c r="B27" s="20" t="s">
        <v>101</v>
      </c>
      <c r="C27" s="28" t="n">
        <f aca="false">IF(A27&lt;=6,Assumptions!$B$68,Assumptions!$B$69)</f>
        <v>286</v>
      </c>
      <c r="D27" s="28" t="n">
        <f aca="false">IF(A27&lt;=9,Assumptions!$B$70,Assumptions!$B$71)</f>
        <v>1430</v>
      </c>
      <c r="E27" s="28" t="n">
        <f aca="false">IF(A27&lt;=6,Assumptions!$B$72,Assumptions!$B$73)</f>
        <v>572</v>
      </c>
      <c r="F27" s="28" t="n">
        <f aca="false">Assumptions!$B$74</f>
        <v>0</v>
      </c>
      <c r="G27" s="28" t="n">
        <f aca="false">Assumptions!$B$75</f>
        <v>0</v>
      </c>
      <c r="H27" s="28" t="n">
        <f aca="false">Assumptions!$B$76</f>
        <v>500</v>
      </c>
      <c r="I27" s="28" t="n">
        <f aca="false">Assumptions!$B$77</f>
        <v>500</v>
      </c>
      <c r="J27" s="32" t="n">
        <f aca="false">SUM(C27:I27)</f>
        <v>3288</v>
      </c>
    </row>
    <row r="28" customFormat="false" ht="15" hidden="false" customHeight="false" outlineLevel="0" collapsed="false">
      <c r="A28" s="18" t="n">
        <v>27</v>
      </c>
      <c r="B28" s="18" t="s">
        <v>101</v>
      </c>
      <c r="C28" s="14" t="n">
        <f aca="false">IF(A28&lt;=6,Assumptions!$B$68,Assumptions!$B$69)</f>
        <v>286</v>
      </c>
      <c r="D28" s="14" t="n">
        <f aca="false">IF(A28&lt;=9,Assumptions!$B$70,Assumptions!$B$71)</f>
        <v>1430</v>
      </c>
      <c r="E28" s="14" t="n">
        <f aca="false">IF(A28&lt;=6,Assumptions!$B$72,Assumptions!$B$73)</f>
        <v>572</v>
      </c>
      <c r="F28" s="14" t="n">
        <f aca="false">Assumptions!$B$74</f>
        <v>0</v>
      </c>
      <c r="G28" s="14" t="n">
        <f aca="false">Assumptions!$B$75</f>
        <v>0</v>
      </c>
      <c r="H28" s="14" t="n">
        <f aca="false">Assumptions!$B$76</f>
        <v>500</v>
      </c>
      <c r="I28" s="14" t="n">
        <f aca="false">Assumptions!$B$77</f>
        <v>500</v>
      </c>
      <c r="J28" s="16" t="n">
        <f aca="false">SUM(C28:I28)</f>
        <v>3288</v>
      </c>
    </row>
    <row r="29" customFormat="false" ht="15" hidden="false" customHeight="false" outlineLevel="0" collapsed="false">
      <c r="A29" s="20" t="n">
        <v>28</v>
      </c>
      <c r="B29" s="20" t="s">
        <v>101</v>
      </c>
      <c r="C29" s="28" t="n">
        <f aca="false">IF(A29&lt;=6,Assumptions!$B$68,Assumptions!$B$69)</f>
        <v>286</v>
      </c>
      <c r="D29" s="28" t="n">
        <f aca="false">IF(A29&lt;=9,Assumptions!$B$70,Assumptions!$B$71)</f>
        <v>1430</v>
      </c>
      <c r="E29" s="28" t="n">
        <f aca="false">IF(A29&lt;=6,Assumptions!$B$72,Assumptions!$B$73)</f>
        <v>572</v>
      </c>
      <c r="F29" s="28" t="n">
        <f aca="false">Assumptions!$B$74</f>
        <v>0</v>
      </c>
      <c r="G29" s="28" t="n">
        <f aca="false">Assumptions!$B$75</f>
        <v>0</v>
      </c>
      <c r="H29" s="28" t="n">
        <f aca="false">Assumptions!$B$76</f>
        <v>500</v>
      </c>
      <c r="I29" s="28" t="n">
        <f aca="false">Assumptions!$B$77</f>
        <v>500</v>
      </c>
      <c r="J29" s="32" t="n">
        <f aca="false">SUM(C29:I29)</f>
        <v>3288</v>
      </c>
    </row>
    <row r="30" customFormat="false" ht="15" hidden="false" customHeight="false" outlineLevel="0" collapsed="false">
      <c r="A30" s="18" t="n">
        <v>29</v>
      </c>
      <c r="B30" s="18" t="s">
        <v>101</v>
      </c>
      <c r="C30" s="14" t="n">
        <f aca="false">IF(A30&lt;=6,Assumptions!$B$68,Assumptions!$B$69)</f>
        <v>286</v>
      </c>
      <c r="D30" s="14" t="n">
        <f aca="false">IF(A30&lt;=9,Assumptions!$B$70,Assumptions!$B$71)</f>
        <v>1430</v>
      </c>
      <c r="E30" s="14" t="n">
        <f aca="false">IF(A30&lt;=6,Assumptions!$B$72,Assumptions!$B$73)</f>
        <v>572</v>
      </c>
      <c r="F30" s="14" t="n">
        <f aca="false">Assumptions!$B$74</f>
        <v>0</v>
      </c>
      <c r="G30" s="14" t="n">
        <f aca="false">Assumptions!$B$75</f>
        <v>0</v>
      </c>
      <c r="H30" s="14" t="n">
        <f aca="false">Assumptions!$B$76</f>
        <v>500</v>
      </c>
      <c r="I30" s="14" t="n">
        <f aca="false">Assumptions!$B$77</f>
        <v>500</v>
      </c>
      <c r="J30" s="16" t="n">
        <f aca="false">SUM(C30:I30)</f>
        <v>3288</v>
      </c>
    </row>
    <row r="31" customFormat="false" ht="15" hidden="false" customHeight="false" outlineLevel="0" collapsed="false">
      <c r="A31" s="20" t="n">
        <v>30</v>
      </c>
      <c r="B31" s="20" t="s">
        <v>101</v>
      </c>
      <c r="C31" s="28" t="n">
        <f aca="false">IF(A31&lt;=6,Assumptions!$B$68,Assumptions!$B$69)</f>
        <v>286</v>
      </c>
      <c r="D31" s="28" t="n">
        <f aca="false">IF(A31&lt;=9,Assumptions!$B$70,Assumptions!$B$71)</f>
        <v>1430</v>
      </c>
      <c r="E31" s="28" t="n">
        <f aca="false">IF(A31&lt;=6,Assumptions!$B$72,Assumptions!$B$73)</f>
        <v>572</v>
      </c>
      <c r="F31" s="28" t="n">
        <f aca="false">Assumptions!$B$74</f>
        <v>0</v>
      </c>
      <c r="G31" s="28" t="n">
        <f aca="false">Assumptions!$B$75</f>
        <v>0</v>
      </c>
      <c r="H31" s="28" t="n">
        <f aca="false">Assumptions!$B$76</f>
        <v>500</v>
      </c>
      <c r="I31" s="28" t="n">
        <f aca="false">Assumptions!$B$77</f>
        <v>500</v>
      </c>
      <c r="J31" s="32" t="n">
        <f aca="false">SUM(C31:I31)</f>
        <v>3288</v>
      </c>
    </row>
    <row r="32" customFormat="false" ht="15" hidden="false" customHeight="false" outlineLevel="0" collapsed="false">
      <c r="A32" s="18" t="n">
        <v>31</v>
      </c>
      <c r="B32" s="18" t="s">
        <v>101</v>
      </c>
      <c r="C32" s="14" t="n">
        <f aca="false">IF(A32&lt;=6,Assumptions!$B$68,Assumptions!$B$69)</f>
        <v>286</v>
      </c>
      <c r="D32" s="14" t="n">
        <f aca="false">IF(A32&lt;=9,Assumptions!$B$70,Assumptions!$B$71)</f>
        <v>1430</v>
      </c>
      <c r="E32" s="14" t="n">
        <f aca="false">IF(A32&lt;=6,Assumptions!$B$72,Assumptions!$B$73)</f>
        <v>572</v>
      </c>
      <c r="F32" s="14" t="n">
        <f aca="false">Assumptions!$B$74</f>
        <v>0</v>
      </c>
      <c r="G32" s="14" t="n">
        <f aca="false">Assumptions!$B$75</f>
        <v>0</v>
      </c>
      <c r="H32" s="14" t="n">
        <f aca="false">Assumptions!$B$76</f>
        <v>500</v>
      </c>
      <c r="I32" s="14" t="n">
        <f aca="false">Assumptions!$B$77</f>
        <v>500</v>
      </c>
      <c r="J32" s="16" t="n">
        <f aca="false">SUM(C32:I32)</f>
        <v>3288</v>
      </c>
    </row>
    <row r="33" customFormat="false" ht="15" hidden="false" customHeight="false" outlineLevel="0" collapsed="false">
      <c r="A33" s="20" t="n">
        <v>32</v>
      </c>
      <c r="B33" s="20" t="s">
        <v>101</v>
      </c>
      <c r="C33" s="28" t="n">
        <f aca="false">IF(A33&lt;=6,Assumptions!$B$68,Assumptions!$B$69)</f>
        <v>286</v>
      </c>
      <c r="D33" s="28" t="n">
        <f aca="false">IF(A33&lt;=9,Assumptions!$B$70,Assumptions!$B$71)</f>
        <v>1430</v>
      </c>
      <c r="E33" s="28" t="n">
        <f aca="false">IF(A33&lt;=6,Assumptions!$B$72,Assumptions!$B$73)</f>
        <v>572</v>
      </c>
      <c r="F33" s="28" t="n">
        <f aca="false">Assumptions!$B$74</f>
        <v>0</v>
      </c>
      <c r="G33" s="28" t="n">
        <f aca="false">Assumptions!$B$75</f>
        <v>0</v>
      </c>
      <c r="H33" s="28" t="n">
        <f aca="false">Assumptions!$B$76</f>
        <v>500</v>
      </c>
      <c r="I33" s="28" t="n">
        <f aca="false">Assumptions!$B$77</f>
        <v>500</v>
      </c>
      <c r="J33" s="32" t="n">
        <f aca="false">SUM(C33:I33)</f>
        <v>3288</v>
      </c>
    </row>
    <row r="34" customFormat="false" ht="15" hidden="false" customHeight="false" outlineLevel="0" collapsed="false">
      <c r="A34" s="18" t="n">
        <v>33</v>
      </c>
      <c r="B34" s="18" t="s">
        <v>101</v>
      </c>
      <c r="C34" s="14" t="n">
        <f aca="false">IF(A34&lt;=6,Assumptions!$B$68,Assumptions!$B$69)</f>
        <v>286</v>
      </c>
      <c r="D34" s="14" t="n">
        <f aca="false">IF(A34&lt;=9,Assumptions!$B$70,Assumptions!$B$71)</f>
        <v>1430</v>
      </c>
      <c r="E34" s="14" t="n">
        <f aca="false">IF(A34&lt;=6,Assumptions!$B$72,Assumptions!$B$73)</f>
        <v>572</v>
      </c>
      <c r="F34" s="14" t="n">
        <f aca="false">Assumptions!$B$74</f>
        <v>0</v>
      </c>
      <c r="G34" s="14" t="n">
        <f aca="false">Assumptions!$B$75</f>
        <v>0</v>
      </c>
      <c r="H34" s="14" t="n">
        <f aca="false">Assumptions!$B$76</f>
        <v>500</v>
      </c>
      <c r="I34" s="14" t="n">
        <f aca="false">Assumptions!$B$77</f>
        <v>500</v>
      </c>
      <c r="J34" s="16" t="n">
        <f aca="false">SUM(C34:I34)</f>
        <v>3288</v>
      </c>
    </row>
    <row r="35" customFormat="false" ht="15" hidden="false" customHeight="false" outlineLevel="0" collapsed="false">
      <c r="A35" s="20" t="n">
        <v>34</v>
      </c>
      <c r="B35" s="20" t="s">
        <v>101</v>
      </c>
      <c r="C35" s="28" t="n">
        <f aca="false">IF(A35&lt;=6,Assumptions!$B$68,Assumptions!$B$69)</f>
        <v>286</v>
      </c>
      <c r="D35" s="28" t="n">
        <f aca="false">IF(A35&lt;=9,Assumptions!$B$70,Assumptions!$B$71)</f>
        <v>1430</v>
      </c>
      <c r="E35" s="28" t="n">
        <f aca="false">IF(A35&lt;=6,Assumptions!$B$72,Assumptions!$B$73)</f>
        <v>572</v>
      </c>
      <c r="F35" s="28" t="n">
        <f aca="false">Assumptions!$B$74</f>
        <v>0</v>
      </c>
      <c r="G35" s="28" t="n">
        <f aca="false">Assumptions!$B$75</f>
        <v>0</v>
      </c>
      <c r="H35" s="28" t="n">
        <f aca="false">Assumptions!$B$76</f>
        <v>500</v>
      </c>
      <c r="I35" s="28" t="n">
        <f aca="false">Assumptions!$B$77</f>
        <v>500</v>
      </c>
      <c r="J35" s="32" t="n">
        <f aca="false">SUM(C35:I35)</f>
        <v>3288</v>
      </c>
    </row>
    <row r="36" customFormat="false" ht="15" hidden="false" customHeight="false" outlineLevel="0" collapsed="false">
      <c r="A36" s="18" t="n">
        <v>35</v>
      </c>
      <c r="B36" s="18" t="s">
        <v>101</v>
      </c>
      <c r="C36" s="14" t="n">
        <f aca="false">IF(A36&lt;=6,Assumptions!$B$68,Assumptions!$B$69)</f>
        <v>286</v>
      </c>
      <c r="D36" s="14" t="n">
        <f aca="false">IF(A36&lt;=9,Assumptions!$B$70,Assumptions!$B$71)</f>
        <v>1430</v>
      </c>
      <c r="E36" s="14" t="n">
        <f aca="false">IF(A36&lt;=6,Assumptions!$B$72,Assumptions!$B$73)</f>
        <v>572</v>
      </c>
      <c r="F36" s="14" t="n">
        <f aca="false">Assumptions!$B$74</f>
        <v>0</v>
      </c>
      <c r="G36" s="14" t="n">
        <f aca="false">Assumptions!$B$75</f>
        <v>0</v>
      </c>
      <c r="H36" s="14" t="n">
        <f aca="false">Assumptions!$B$76</f>
        <v>500</v>
      </c>
      <c r="I36" s="14" t="n">
        <f aca="false">Assumptions!$B$77</f>
        <v>500</v>
      </c>
      <c r="J36" s="16" t="n">
        <f aca="false">SUM(C36:I36)</f>
        <v>3288</v>
      </c>
    </row>
    <row r="37" customFormat="false" ht="15" hidden="false" customHeight="false" outlineLevel="0" collapsed="false">
      <c r="A37" s="20" t="n">
        <v>36</v>
      </c>
      <c r="B37" s="20" t="s">
        <v>101</v>
      </c>
      <c r="C37" s="28" t="n">
        <f aca="false">IF(A37&lt;=6,Assumptions!$B$68,Assumptions!$B$69)</f>
        <v>286</v>
      </c>
      <c r="D37" s="28" t="n">
        <f aca="false">IF(A37&lt;=9,Assumptions!$B$70,Assumptions!$B$71)</f>
        <v>1430</v>
      </c>
      <c r="E37" s="28" t="n">
        <f aca="false">IF(A37&lt;=6,Assumptions!$B$72,Assumptions!$B$73)</f>
        <v>572</v>
      </c>
      <c r="F37" s="28" t="n">
        <f aca="false">Assumptions!$B$74</f>
        <v>0</v>
      </c>
      <c r="G37" s="28" t="n">
        <f aca="false">Assumptions!$B$75</f>
        <v>0</v>
      </c>
      <c r="H37" s="28" t="n">
        <f aca="false">Assumptions!$B$76</f>
        <v>500</v>
      </c>
      <c r="I37" s="28" t="n">
        <f aca="false">Assumptions!$B$77</f>
        <v>500</v>
      </c>
      <c r="J37" s="32" t="n">
        <f aca="false">SUM(C37:I37)</f>
        <v>3288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33" t="s">
        <v>143</v>
      </c>
      <c r="B1" s="33"/>
      <c r="C1" s="33"/>
      <c r="D1" s="33"/>
    </row>
    <row r="3" customFormat="false" ht="15" hidden="false" customHeight="false" outlineLevel="0" collapsed="false">
      <c r="B3" s="17" t="s">
        <v>144</v>
      </c>
      <c r="C3" s="17" t="s">
        <v>145</v>
      </c>
      <c r="D3" s="17" t="s">
        <v>146</v>
      </c>
    </row>
    <row r="4" customFormat="false" ht="15" hidden="false" customHeight="false" outlineLevel="0" collapsed="false">
      <c r="A4" s="34" t="s">
        <v>147</v>
      </c>
      <c r="B4" s="35"/>
      <c r="C4" s="35"/>
      <c r="D4" s="35"/>
    </row>
    <row r="5" customFormat="false" ht="15" hidden="false" customHeight="false" outlineLevel="0" collapsed="false">
      <c r="A5" s="3" t="s">
        <v>148</v>
      </c>
      <c r="B5" s="26" t="n">
        <f aca="false">SUMIF(Revenue!B:B,"Y1",Revenue!C:C)</f>
        <v>29800</v>
      </c>
      <c r="C5" s="26" t="n">
        <f aca="false">SUMIF(Revenue!B:B,"Y2",Revenue!C:C)</f>
        <v>0</v>
      </c>
      <c r="D5" s="26" t="n">
        <f aca="false">SUMIF(Revenue!B:B,"Y3",Revenue!C:C)</f>
        <v>0</v>
      </c>
    </row>
    <row r="6" customFormat="false" ht="15" hidden="false" customHeight="false" outlineLevel="0" collapsed="false">
      <c r="A6" s="3" t="s">
        <v>149</v>
      </c>
      <c r="B6" s="26" t="n">
        <f aca="false">SUMIF(Revenue!B:B,"Y1",Revenue!D:D)</f>
        <v>246974</v>
      </c>
      <c r="C6" s="26" t="n">
        <f aca="false">SUMIF(Revenue!B:B,"Y2",Revenue!D:D)</f>
        <v>1068626</v>
      </c>
      <c r="D6" s="26" t="n">
        <f aca="false">SUMIF(Revenue!B:B,"Y3",Revenue!D:D)</f>
        <v>2917044</v>
      </c>
    </row>
    <row r="7" customFormat="false" ht="15" hidden="false" customHeight="false" outlineLevel="0" collapsed="false">
      <c r="A7" s="3" t="s">
        <v>150</v>
      </c>
      <c r="B7" s="26" t="n">
        <f aca="false">SUMIF(Revenue!B:B,"Y1",Revenue!E:E)</f>
        <v>0</v>
      </c>
      <c r="C7" s="26" t="n">
        <f aca="false">SUMIF(Revenue!B:B,"Y2",Revenue!E:E)</f>
        <v>527340</v>
      </c>
      <c r="D7" s="26" t="n">
        <f aca="false">SUMIF(Revenue!B:B,"Y3",Revenue!E:E)</f>
        <v>1435004</v>
      </c>
    </row>
    <row r="8" customFormat="false" ht="15" hidden="false" customHeight="false" outlineLevel="0" collapsed="false">
      <c r="A8" s="3" t="s">
        <v>151</v>
      </c>
      <c r="B8" s="26" t="n">
        <f aca="false">B5+B6+B7</f>
        <v>276774</v>
      </c>
      <c r="C8" s="26" t="n">
        <f aca="false">C5+C6+C7</f>
        <v>1595966</v>
      </c>
      <c r="D8" s="26" t="n">
        <f aca="false">D5+D6+D7</f>
        <v>4352048</v>
      </c>
    </row>
    <row r="9" customFormat="false" ht="15" hidden="false" customHeight="false" outlineLevel="0" collapsed="false">
      <c r="A9" s="3" t="s">
        <v>152</v>
      </c>
      <c r="B9" s="26" t="n">
        <f aca="false">SUMIF(Revenue!B:B,"Y1",Revenue!G:G)</f>
        <v>5258.706</v>
      </c>
      <c r="C9" s="26" t="n">
        <f aca="false">SUMIF(Revenue!B:B,"Y2",Revenue!G:G)</f>
        <v>30323.354</v>
      </c>
      <c r="D9" s="26" t="n">
        <f aca="false">SUMIF(Revenue!B:B,"Y3",Revenue!G:G)</f>
        <v>82688.912</v>
      </c>
    </row>
    <row r="10" customFormat="false" ht="15" hidden="false" customHeight="false" outlineLevel="0" collapsed="false">
      <c r="A10" s="15" t="s">
        <v>153</v>
      </c>
      <c r="B10" s="36" t="n">
        <f aca="false">B8-B9</f>
        <v>271515.294</v>
      </c>
      <c r="C10" s="36" t="n">
        <f aca="false">C8-C9</f>
        <v>1565642.646</v>
      </c>
      <c r="D10" s="36" t="n">
        <f aca="false">D8-D9</f>
        <v>4269359.088</v>
      </c>
    </row>
    <row r="12" customFormat="false" ht="15" hidden="false" customHeight="false" outlineLevel="0" collapsed="false">
      <c r="A12" s="34" t="s">
        <v>154</v>
      </c>
      <c r="B12" s="35"/>
      <c r="C12" s="35"/>
      <c r="D12" s="35"/>
    </row>
    <row r="13" customFormat="false" ht="15" hidden="false" customHeight="false" outlineLevel="0" collapsed="false">
      <c r="A13" s="3" t="s">
        <v>155</v>
      </c>
      <c r="B13" s="26" t="n">
        <f aca="false">SUMIF('API Costs'!B:B,"Y1",'API Costs'!K:K)</f>
        <v>25451.712</v>
      </c>
      <c r="C13" s="26" t="n">
        <f aca="false">SUMIF('API Costs'!B:B,"Y2",'API Costs'!K:K)</f>
        <v>162947.79072</v>
      </c>
      <c r="D13" s="26" t="n">
        <f aca="false">SUMIF('API Costs'!B:B,"Y3",'API Costs'!K:K)</f>
        <v>607815.50544</v>
      </c>
    </row>
    <row r="14" customFormat="false" ht="15" hidden="false" customHeight="false" outlineLevel="0" collapsed="false">
      <c r="A14" s="3" t="s">
        <v>156</v>
      </c>
      <c r="B14" s="26" t="n">
        <f aca="false">SUMIF('API Costs'!B:B,"Y1",'API Costs'!L:L)</f>
        <v>131252.7216</v>
      </c>
      <c r="C14" s="26" t="n">
        <f aca="false">SUMIF('API Costs'!B:B,"Y2",'API Costs'!L:L)</f>
        <v>735685.7755104</v>
      </c>
      <c r="D14" s="26" t="n">
        <f aca="false">SUMIF('API Costs'!B:B,"Y3",'API Costs'!L:L)</f>
        <v>2406748.8025152</v>
      </c>
    </row>
    <row r="15" customFormat="false" ht="15" hidden="false" customHeight="false" outlineLevel="0" collapsed="false">
      <c r="A15" s="3" t="s">
        <v>157</v>
      </c>
      <c r="B15" s="26" t="n">
        <f aca="false">SUMIF('API Costs'!B:B,"Y1",'API Costs'!M:M)</f>
        <v>0</v>
      </c>
      <c r="C15" s="26" t="n">
        <f aca="false">SUMIF('API Costs'!B:B,"Y2",'API Costs'!M:M)</f>
        <v>137997.452736</v>
      </c>
      <c r="D15" s="26" t="n">
        <f aca="false">SUMIF('API Costs'!B:B,"Y3",'API Costs'!M:M)</f>
        <v>450182.0898432</v>
      </c>
    </row>
    <row r="16" customFormat="false" ht="15" hidden="false" customHeight="false" outlineLevel="0" collapsed="false">
      <c r="A16" s="15" t="s">
        <v>158</v>
      </c>
      <c r="B16" s="36" t="n">
        <f aca="false">B13+B14+B15</f>
        <v>156704.4336</v>
      </c>
      <c r="C16" s="36" t="n">
        <f aca="false">C13+C14+C15</f>
        <v>1036631.0189664</v>
      </c>
      <c r="D16" s="36" t="n">
        <f aca="false">D13+D14+D15</f>
        <v>3464746.3977984</v>
      </c>
    </row>
    <row r="18" customFormat="false" ht="15" hidden="false" customHeight="false" outlineLevel="0" collapsed="false">
      <c r="A18" s="15" t="s">
        <v>159</v>
      </c>
      <c r="B18" s="36" t="n">
        <f aca="false">B10-B16</f>
        <v>114810.8604</v>
      </c>
      <c r="C18" s="36" t="n">
        <f aca="false">C10-C16</f>
        <v>529011.6270336</v>
      </c>
      <c r="D18" s="36" t="n">
        <f aca="false">D10-D16</f>
        <v>804612.6902016</v>
      </c>
    </row>
    <row r="19" customFormat="false" ht="15" hidden="false" customHeight="false" outlineLevel="0" collapsed="false">
      <c r="A19" s="37" t="s">
        <v>160</v>
      </c>
      <c r="B19" s="13" t="n">
        <f aca="false">IF(B10=0,0,B18/B10)</f>
        <v>0.422852277338013</v>
      </c>
      <c r="C19" s="13" t="n">
        <f aca="false">IF(C10=0,0,C18/C10)</f>
        <v>0.337887849685975</v>
      </c>
      <c r="D19" s="13" t="n">
        <f aca="false">IF(D10=0,0,D18/D10)</f>
        <v>0.188462172803207</v>
      </c>
    </row>
    <row r="21" customFormat="false" ht="15" hidden="false" customHeight="false" outlineLevel="0" collapsed="false">
      <c r="A21" s="34" t="s">
        <v>161</v>
      </c>
      <c r="B21" s="35"/>
      <c r="C21" s="35"/>
      <c r="D21" s="35"/>
    </row>
    <row r="22" customFormat="false" ht="15" hidden="false" customHeight="false" outlineLevel="0" collapsed="false">
      <c r="A22" s="3" t="s">
        <v>162</v>
      </c>
      <c r="B22" s="26" t="n">
        <f aca="false">SUMIF('Fixed OpEx'!B:B,"Y1",'Fixed OpEx'!J:J)</f>
        <v>21438</v>
      </c>
      <c r="C22" s="26" t="n">
        <f aca="false">SUMIF('Fixed OpEx'!B:B,"Y2",'Fixed OpEx'!J:J)</f>
        <v>39456</v>
      </c>
      <c r="D22" s="26" t="n">
        <f aca="false">SUMIF('Fixed OpEx'!B:B,"Y3",'Fixed OpEx'!J:J)</f>
        <v>39456</v>
      </c>
    </row>
    <row r="24" customFormat="false" ht="15" hidden="false" customHeight="false" outlineLevel="0" collapsed="false">
      <c r="A24" s="15" t="s">
        <v>163</v>
      </c>
      <c r="B24" s="36" t="n">
        <f aca="false">B18-B22</f>
        <v>93372.8604</v>
      </c>
      <c r="C24" s="36" t="n">
        <f aca="false">C18-C22</f>
        <v>489555.6270336</v>
      </c>
      <c r="D24" s="36" t="n">
        <f aca="false">D18-D22</f>
        <v>765156.6902016</v>
      </c>
    </row>
    <row r="25" customFormat="false" ht="15" hidden="false" customHeight="false" outlineLevel="0" collapsed="false">
      <c r="A25" s="37" t="s">
        <v>164</v>
      </c>
      <c r="B25" s="13" t="n">
        <f aca="false">IF(B10=0,0,B24/B10)</f>
        <v>0.343895399129892</v>
      </c>
      <c r="C25" s="13" t="n">
        <f aca="false">IF(C10=0,0,C24/C10)</f>
        <v>0.312686696599857</v>
      </c>
      <c r="D25" s="13" t="n">
        <f aca="false">IF(D10=0,0,D24/D10)</f>
        <v>0.179220504630835</v>
      </c>
    </row>
    <row r="27" customFormat="false" ht="15" hidden="false" customHeight="false" outlineLevel="0" collapsed="false">
      <c r="A27" s="34" t="s">
        <v>165</v>
      </c>
      <c r="B27" s="35"/>
      <c r="C27" s="35"/>
      <c r="D27" s="35"/>
    </row>
    <row r="28" customFormat="false" ht="15" hidden="false" customHeight="false" outlineLevel="0" collapsed="false">
      <c r="A28" s="3" t="s">
        <v>166</v>
      </c>
      <c r="B28" s="26" t="n">
        <f aca="false">Assumptions!$B$90</f>
        <v>28800</v>
      </c>
      <c r="C28" s="14" t="n">
        <v>0</v>
      </c>
      <c r="D28" s="14" t="n">
        <v>0</v>
      </c>
    </row>
    <row r="29" customFormat="false" ht="15" hidden="false" customHeight="false" outlineLevel="0" collapsed="false">
      <c r="A29" s="3" t="s">
        <v>167</v>
      </c>
      <c r="B29" s="26" t="n">
        <f aca="false">Assumptions!$B$82</f>
        <v>800</v>
      </c>
      <c r="C29" s="14" t="n">
        <v>0</v>
      </c>
      <c r="D29" s="14" t="n">
        <v>0</v>
      </c>
    </row>
    <row r="31" customFormat="false" ht="15" hidden="false" customHeight="false" outlineLevel="0" collapsed="false">
      <c r="A31" s="15" t="s">
        <v>168</v>
      </c>
      <c r="B31" s="36" t="n">
        <f aca="false">B24-B28-B29</f>
        <v>63772.8604</v>
      </c>
      <c r="C31" s="36" t="n">
        <f aca="false">C24-C28-C29</f>
        <v>489555.6270336</v>
      </c>
      <c r="D31" s="36" t="n">
        <f aca="false">D24-D28-D29</f>
        <v>765156.6902016</v>
      </c>
    </row>
    <row r="32" customFormat="false" ht="15" hidden="false" customHeight="false" outlineLevel="0" collapsed="false">
      <c r="A32" s="37" t="s">
        <v>169</v>
      </c>
      <c r="B32" s="13" t="n">
        <f aca="false">IF(B10=0,0,B31/B10)</f>
        <v>0.234877599197046</v>
      </c>
      <c r="C32" s="13" t="n">
        <f aca="false">IF(C10=0,0,C31/C10)</f>
        <v>0.312686696599857</v>
      </c>
      <c r="D32" s="13" t="n">
        <f aca="false">IF(D10=0,0,D31/D10)</f>
        <v>0.179220504630835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7" t="s">
        <v>106</v>
      </c>
      <c r="B1" s="17" t="s">
        <v>107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7" t="s">
        <v>175</v>
      </c>
      <c r="I1" s="17" t="s">
        <v>176</v>
      </c>
      <c r="K1" s="38" t="s">
        <v>177</v>
      </c>
      <c r="L1" s="38"/>
      <c r="M1" s="38"/>
      <c r="N1" s="38"/>
    </row>
    <row r="2" customFormat="false" ht="15" hidden="false" customHeight="false" outlineLevel="0" collapsed="false">
      <c r="A2" s="18" t="n">
        <v>1</v>
      </c>
      <c r="B2" s="18" t="s">
        <v>99</v>
      </c>
      <c r="C2" s="26" t="n">
        <f aca="false">Revenue!H2</f>
        <v>2923.38</v>
      </c>
      <c r="D2" s="26" t="n">
        <f aca="false">'API Costs'!N2</f>
        <v>0</v>
      </c>
      <c r="E2" s="26" t="n">
        <f aca="false">'Fixed OpEx'!J2</f>
        <v>1000</v>
      </c>
      <c r="F2" s="14" t="n">
        <f aca="false">D2+E2</f>
        <v>1000</v>
      </c>
      <c r="G2" s="14" t="n">
        <f aca="false">C2-F2</f>
        <v>1923.38</v>
      </c>
      <c r="H2" s="14" t="n">
        <f aca="false">G2-Assumptions!$B$90-Assumptions!$B$82</f>
        <v>-27676.62</v>
      </c>
      <c r="I2" s="18" t="str">
        <f aca="false">IF(AND(H2&gt;0,H1&lt;=0),"✓ BREAK-EVEN",IF(H2&gt;0,"▲ Profitable",""))</f>
        <v/>
      </c>
      <c r="K2" s="0" t="s">
        <v>178</v>
      </c>
      <c r="L2" s="39" t="n">
        <f aca="false">IFERROR(MATCH(TRUE(),H2:H37&gt;0,0),"Not yet")</f>
        <v>5</v>
      </c>
    </row>
    <row r="3" customFormat="false" ht="15" hidden="false" customHeight="false" outlineLevel="0" collapsed="false">
      <c r="A3" s="20" t="n">
        <v>2</v>
      </c>
      <c r="B3" s="20" t="s">
        <v>99</v>
      </c>
      <c r="C3" s="27" t="n">
        <f aca="false">Revenue!H3</f>
        <v>5846.76</v>
      </c>
      <c r="D3" s="27" t="n">
        <f aca="false">'API Costs'!N3</f>
        <v>0</v>
      </c>
      <c r="E3" s="27" t="n">
        <f aca="false">'Fixed OpEx'!J3</f>
        <v>1000</v>
      </c>
      <c r="F3" s="28" t="n">
        <f aca="false">D3+E3</f>
        <v>1000</v>
      </c>
      <c r="G3" s="28" t="n">
        <f aca="false">C3-F3</f>
        <v>4846.76</v>
      </c>
      <c r="H3" s="28" t="n">
        <f aca="false">H2+G3</f>
        <v>-22829.86</v>
      </c>
      <c r="I3" s="20" t="str">
        <f aca="false">IF(AND(H3&gt;0,H2&lt;=0),"✓ BREAK-EVEN",IF(H3&gt;0,"▲ Profitable",""))</f>
        <v/>
      </c>
      <c r="K3" s="0" t="s">
        <v>179</v>
      </c>
      <c r="L3" s="0" t="n">
        <f aca="false">IFERROR(INDEX(A2:A37,MATCH(TRUE(),H2:H37&gt;0,0)),"—")</f>
        <v>5</v>
      </c>
    </row>
    <row r="4" customFormat="false" ht="15" hidden="false" customHeight="false" outlineLevel="0" collapsed="false">
      <c r="A4" s="18" t="n">
        <v>3</v>
      </c>
      <c r="B4" s="18" t="s">
        <v>99</v>
      </c>
      <c r="C4" s="26" t="n">
        <f aca="false">Revenue!H4</f>
        <v>8770.14</v>
      </c>
      <c r="D4" s="26" t="n">
        <f aca="false">'API Costs'!N4</f>
        <v>0</v>
      </c>
      <c r="E4" s="26" t="n">
        <f aca="false">'Fixed OpEx'!J4</f>
        <v>1000</v>
      </c>
      <c r="F4" s="14" t="n">
        <f aca="false">D4+E4</f>
        <v>1000</v>
      </c>
      <c r="G4" s="14" t="n">
        <f aca="false">C4-F4</f>
        <v>7770.14</v>
      </c>
      <c r="H4" s="14" t="n">
        <f aca="false">H3+G4</f>
        <v>-15059.72</v>
      </c>
      <c r="I4" s="18" t="str">
        <f aca="false">IF(AND(H4&gt;0,H3&lt;=0),"✓ BREAK-EVEN",IF(H4&gt;0,"▲ Profitable",""))</f>
        <v/>
      </c>
    </row>
    <row r="5" customFormat="false" ht="15" hidden="false" customHeight="false" outlineLevel="0" collapsed="false">
      <c r="A5" s="20" t="n">
        <v>4</v>
      </c>
      <c r="B5" s="20" t="s">
        <v>99</v>
      </c>
      <c r="C5" s="27" t="n">
        <f aca="false">Revenue!H5</f>
        <v>11693.52</v>
      </c>
      <c r="D5" s="27" t="n">
        <f aca="false">'API Costs'!N5</f>
        <v>0</v>
      </c>
      <c r="E5" s="27" t="n">
        <f aca="false">'Fixed OpEx'!J5</f>
        <v>1000</v>
      </c>
      <c r="F5" s="28" t="n">
        <f aca="false">D5+E5</f>
        <v>1000</v>
      </c>
      <c r="G5" s="28" t="n">
        <f aca="false">C5-F5</f>
        <v>10693.52</v>
      </c>
      <c r="H5" s="28" t="n">
        <f aca="false">H4+G5</f>
        <v>-4366.2</v>
      </c>
      <c r="I5" s="20" t="str">
        <f aca="false">IF(AND(H5&gt;0,H4&lt;=0),"✓ BREAK-EVEN",IF(H5&gt;0,"▲ Profitable",""))</f>
        <v/>
      </c>
    </row>
    <row r="6" customFormat="false" ht="15" hidden="false" customHeight="false" outlineLevel="0" collapsed="false">
      <c r="A6" s="18" t="n">
        <v>5</v>
      </c>
      <c r="B6" s="18" t="s">
        <v>99</v>
      </c>
      <c r="C6" s="26" t="n">
        <f aca="false">Revenue!H6</f>
        <v>17599.14</v>
      </c>
      <c r="D6" s="26" t="n">
        <f aca="false">'API Costs'!N6</f>
        <v>11387.376</v>
      </c>
      <c r="E6" s="26" t="n">
        <f aca="false">'Fixed OpEx'!J6</f>
        <v>1000</v>
      </c>
      <c r="F6" s="14" t="n">
        <f aca="false">D6+E6</f>
        <v>12387.376</v>
      </c>
      <c r="G6" s="14" t="n">
        <f aca="false">C6-F6</f>
        <v>5211.764</v>
      </c>
      <c r="H6" s="14" t="n">
        <f aca="false">H5+G6</f>
        <v>845.563999999999</v>
      </c>
      <c r="I6" s="18" t="str">
        <f aca="false">IF(AND(H6&gt;0,H5&lt;=0),"✓ BREAK-EVEN",IF(H6&gt;0,"▲ Profitable",""))</f>
        <v>✓ BREAK-EVEN</v>
      </c>
    </row>
    <row r="7" customFormat="false" ht="15" hidden="false" customHeight="false" outlineLevel="0" collapsed="false">
      <c r="A7" s="20" t="n">
        <v>6</v>
      </c>
      <c r="B7" s="20" t="s">
        <v>99</v>
      </c>
      <c r="C7" s="27" t="n">
        <f aca="false">Revenue!H7</f>
        <v>20239.011</v>
      </c>
      <c r="D7" s="27" t="n">
        <f aca="false">'API Costs'!N7</f>
        <v>13105.7784</v>
      </c>
      <c r="E7" s="27" t="n">
        <f aca="false">'Fixed OpEx'!J7</f>
        <v>1000</v>
      </c>
      <c r="F7" s="28" t="n">
        <f aca="false">D7+E7</f>
        <v>14105.7784</v>
      </c>
      <c r="G7" s="28" t="n">
        <f aca="false">C7-F7</f>
        <v>6133.2326</v>
      </c>
      <c r="H7" s="28" t="n">
        <f aca="false">H6+G7</f>
        <v>6978.7966</v>
      </c>
      <c r="I7" s="20" t="str">
        <f aca="false">IF(AND(H7&gt;0,H6&lt;=0),"✓ BREAK-EVEN",IF(H7&gt;0,"▲ Profitable",""))</f>
        <v>▲ Profitable</v>
      </c>
    </row>
    <row r="8" customFormat="false" ht="15" hidden="false" customHeight="false" outlineLevel="0" collapsed="false">
      <c r="A8" s="18" t="n">
        <v>7</v>
      </c>
      <c r="B8" s="18" t="s">
        <v>99</v>
      </c>
      <c r="C8" s="26" t="n">
        <f aca="false">Revenue!H8</f>
        <v>23465.52</v>
      </c>
      <c r="D8" s="26" t="n">
        <f aca="false">'API Costs'!N8</f>
        <v>15162.576</v>
      </c>
      <c r="E8" s="26" t="n">
        <f aca="false">'Fixed OpEx'!J8</f>
        <v>1858</v>
      </c>
      <c r="F8" s="14" t="n">
        <f aca="false">D8+E8</f>
        <v>17020.576</v>
      </c>
      <c r="G8" s="14" t="n">
        <f aca="false">C8-F8</f>
        <v>6444.944</v>
      </c>
      <c r="H8" s="14" t="n">
        <f aca="false">H7+G8</f>
        <v>13423.7406</v>
      </c>
      <c r="I8" s="18" t="str">
        <f aca="false">IF(AND(H8&gt;0,H7&lt;=0),"✓ BREAK-EVEN",IF(H8&gt;0,"▲ Profitable",""))</f>
        <v>▲ Profitable</v>
      </c>
    </row>
    <row r="9" customFormat="false" ht="15" hidden="false" customHeight="false" outlineLevel="0" collapsed="false">
      <c r="A9" s="20" t="n">
        <v>8</v>
      </c>
      <c r="B9" s="20" t="s">
        <v>99</v>
      </c>
      <c r="C9" s="27" t="n">
        <f aca="false">Revenue!H9</f>
        <v>26985.348</v>
      </c>
      <c r="D9" s="27" t="n">
        <f aca="false">'API Costs'!N9</f>
        <v>17440.0512</v>
      </c>
      <c r="E9" s="27" t="n">
        <f aca="false">'Fixed OpEx'!J9</f>
        <v>1858</v>
      </c>
      <c r="F9" s="28" t="n">
        <f aca="false">D9+E9</f>
        <v>19298.0512</v>
      </c>
      <c r="G9" s="28" t="n">
        <f aca="false">C9-F9</f>
        <v>7687.2968</v>
      </c>
      <c r="H9" s="28" t="n">
        <f aca="false">H8+G9</f>
        <v>21111.0374</v>
      </c>
      <c r="I9" s="20" t="str">
        <f aca="false">IF(AND(H9&gt;0,H8&lt;=0),"✓ BREAK-EVEN",IF(H9&gt;0,"▲ Profitable",""))</f>
        <v>▲ Profitable</v>
      </c>
    </row>
    <row r="10" customFormat="false" ht="15" hidden="false" customHeight="false" outlineLevel="0" collapsed="false">
      <c r="A10" s="18" t="n">
        <v>9</v>
      </c>
      <c r="B10" s="18" t="s">
        <v>99</v>
      </c>
      <c r="C10" s="26" t="n">
        <f aca="false">Revenue!H10</f>
        <v>30798.495</v>
      </c>
      <c r="D10" s="26" t="n">
        <f aca="false">'API Costs'!N10</f>
        <v>19938.204</v>
      </c>
      <c r="E10" s="26" t="n">
        <f aca="false">'Fixed OpEx'!J10</f>
        <v>1858</v>
      </c>
      <c r="F10" s="14" t="n">
        <f aca="false">D10+E10</f>
        <v>21796.204</v>
      </c>
      <c r="G10" s="14" t="n">
        <f aca="false">C10-F10</f>
        <v>9002.291</v>
      </c>
      <c r="H10" s="14" t="n">
        <f aca="false">H9+G10</f>
        <v>30113.3284</v>
      </c>
      <c r="I10" s="18" t="str">
        <f aca="false">IF(AND(H10&gt;0,H9&lt;=0),"✓ BREAK-EVEN",IF(H10&gt;0,"▲ Profitable",""))</f>
        <v>▲ Profitable</v>
      </c>
    </row>
    <row r="11" customFormat="false" ht="15" hidden="false" customHeight="false" outlineLevel="0" collapsed="false">
      <c r="A11" s="20" t="n">
        <v>10</v>
      </c>
      <c r="B11" s="20" t="s">
        <v>99</v>
      </c>
      <c r="C11" s="27" t="n">
        <f aca="false">Revenue!H11</f>
        <v>35491.599</v>
      </c>
      <c r="D11" s="27" t="n">
        <f aca="false">'API Costs'!N11</f>
        <v>22954.2456</v>
      </c>
      <c r="E11" s="27" t="n">
        <f aca="false">'Fixed OpEx'!J11</f>
        <v>3288</v>
      </c>
      <c r="F11" s="28" t="n">
        <f aca="false">D11+E11</f>
        <v>26242.2456</v>
      </c>
      <c r="G11" s="28" t="n">
        <f aca="false">C11-F11</f>
        <v>9249.3534</v>
      </c>
      <c r="H11" s="28" t="n">
        <f aca="false">H10+G11</f>
        <v>39362.6818</v>
      </c>
      <c r="I11" s="20" t="str">
        <f aca="false">IF(AND(H11&gt;0,H10&lt;=0),"✓ BREAK-EVEN",IF(H11&gt;0,"▲ Profitable",""))</f>
        <v>▲ Profitable</v>
      </c>
    </row>
    <row r="12" customFormat="false" ht="15" hidden="false" customHeight="false" outlineLevel="0" collapsed="false">
      <c r="A12" s="18" t="n">
        <v>11</v>
      </c>
      <c r="B12" s="18" t="s">
        <v>99</v>
      </c>
      <c r="C12" s="26" t="n">
        <f aca="false">Revenue!H12</f>
        <v>40771.341</v>
      </c>
      <c r="D12" s="26" t="n">
        <f aca="false">'API Costs'!N12</f>
        <v>26370.4584</v>
      </c>
      <c r="E12" s="26" t="n">
        <f aca="false">'Fixed OpEx'!J12</f>
        <v>3288</v>
      </c>
      <c r="F12" s="14" t="n">
        <f aca="false">D12+E12</f>
        <v>29658.4584</v>
      </c>
      <c r="G12" s="14" t="n">
        <f aca="false">C12-F12</f>
        <v>11112.8826</v>
      </c>
      <c r="H12" s="14" t="n">
        <f aca="false">H11+G12</f>
        <v>50475.5644</v>
      </c>
      <c r="I12" s="18" t="str">
        <f aca="false">IF(AND(H12&gt;0,H11&lt;=0),"✓ BREAK-EVEN",IF(H12&gt;0,"▲ Profitable",""))</f>
        <v>▲ Profitable</v>
      </c>
    </row>
    <row r="13" customFormat="false" ht="15" hidden="false" customHeight="false" outlineLevel="0" collapsed="false">
      <c r="A13" s="20" t="n">
        <v>12</v>
      </c>
      <c r="B13" s="20" t="s">
        <v>99</v>
      </c>
      <c r="C13" s="27" t="n">
        <f aca="false">Revenue!H13</f>
        <v>46931.04</v>
      </c>
      <c r="D13" s="27" t="n">
        <f aca="false">'API Costs'!N13</f>
        <v>30345.744</v>
      </c>
      <c r="E13" s="27" t="n">
        <f aca="false">'Fixed OpEx'!J13</f>
        <v>3288</v>
      </c>
      <c r="F13" s="28" t="n">
        <f aca="false">D13+E13</f>
        <v>33633.744</v>
      </c>
      <c r="G13" s="28" t="n">
        <f aca="false">C13-F13</f>
        <v>13297.296</v>
      </c>
      <c r="H13" s="28" t="n">
        <f aca="false">H12+G13</f>
        <v>63772.8604</v>
      </c>
      <c r="I13" s="20" t="str">
        <f aca="false">IF(AND(H13&gt;0,H12&lt;=0),"✓ BREAK-EVEN",IF(H13&gt;0,"▲ Profitable",""))</f>
        <v>▲ Profitable</v>
      </c>
    </row>
    <row r="14" customFormat="false" ht="15" hidden="false" customHeight="false" outlineLevel="0" collapsed="false">
      <c r="A14" s="18" t="n">
        <v>13</v>
      </c>
      <c r="B14" s="18" t="s">
        <v>100</v>
      </c>
      <c r="C14" s="26" t="n">
        <f aca="false">Revenue!H14</f>
        <v>73282.662</v>
      </c>
      <c r="D14" s="26" t="n">
        <f aca="false">'API Costs'!N14</f>
        <v>48450.5029008</v>
      </c>
      <c r="E14" s="26" t="n">
        <f aca="false">'Fixed OpEx'!J14</f>
        <v>3288</v>
      </c>
      <c r="F14" s="14" t="n">
        <f aca="false">D14+E14</f>
        <v>51738.5029008</v>
      </c>
      <c r="G14" s="14" t="n">
        <f aca="false">C14-F14</f>
        <v>21544.1590992</v>
      </c>
      <c r="H14" s="14" t="n">
        <f aca="false">H13+G14</f>
        <v>85317.0194992</v>
      </c>
      <c r="I14" s="18" t="str">
        <f aca="false">IF(AND(H14&gt;0,H13&lt;=0),"✓ BREAK-EVEN",IF(H14&gt;0,"▲ Profitable",""))</f>
        <v>▲ Profitable</v>
      </c>
    </row>
    <row r="15" customFormat="false" ht="15" hidden="false" customHeight="false" outlineLevel="0" collapsed="false">
      <c r="A15" s="20" t="n">
        <v>14</v>
      </c>
      <c r="B15" s="20" t="s">
        <v>100</v>
      </c>
      <c r="C15" s="27" t="n">
        <f aca="false">Revenue!H15</f>
        <v>80620.542</v>
      </c>
      <c r="D15" s="27" t="n">
        <f aca="false">'API Costs'!N15</f>
        <v>53364.7528128</v>
      </c>
      <c r="E15" s="27" t="n">
        <f aca="false">'Fixed OpEx'!J15</f>
        <v>3288</v>
      </c>
      <c r="F15" s="28" t="n">
        <f aca="false">D15+E15</f>
        <v>56652.7528128</v>
      </c>
      <c r="G15" s="28" t="n">
        <f aca="false">C15-F15</f>
        <v>23967.7891872</v>
      </c>
      <c r="H15" s="28" t="n">
        <f aca="false">H14+G15</f>
        <v>109284.8086864</v>
      </c>
      <c r="I15" s="20" t="str">
        <f aca="false">IF(AND(H15&gt;0,H14&lt;=0),"✓ BREAK-EVEN",IF(H15&gt;0,"▲ Profitable",""))</f>
        <v>▲ Profitable</v>
      </c>
    </row>
    <row r="16" customFormat="false" ht="15" hidden="false" customHeight="false" outlineLevel="0" collapsed="false">
      <c r="A16" s="18" t="n">
        <v>15</v>
      </c>
      <c r="B16" s="18" t="s">
        <v>100</v>
      </c>
      <c r="C16" s="26" t="n">
        <f aca="false">Revenue!H16</f>
        <v>88251.741</v>
      </c>
      <c r="D16" s="26" t="n">
        <f aca="false">'API Costs'!N16</f>
        <v>58547.8580544</v>
      </c>
      <c r="E16" s="26" t="n">
        <f aca="false">'Fixed OpEx'!J16</f>
        <v>3288</v>
      </c>
      <c r="F16" s="14" t="n">
        <f aca="false">D16+E16</f>
        <v>61835.8580544</v>
      </c>
      <c r="G16" s="14" t="n">
        <f aca="false">C16-F16</f>
        <v>26415.8829456</v>
      </c>
      <c r="H16" s="14" t="n">
        <f aca="false">H15+G16</f>
        <v>135700.691632</v>
      </c>
      <c r="I16" s="18" t="str">
        <f aca="false">IF(AND(H16&gt;0,H15&lt;=0),"✓ BREAK-EVEN",IF(H16&gt;0,"▲ Profitable",""))</f>
        <v>▲ Profitable</v>
      </c>
    </row>
    <row r="17" customFormat="false" ht="15" hidden="false" customHeight="false" outlineLevel="0" collapsed="false">
      <c r="A17" s="20" t="n">
        <v>16</v>
      </c>
      <c r="B17" s="20" t="s">
        <v>100</v>
      </c>
      <c r="C17" s="27" t="n">
        <f aca="false">Revenue!H17</f>
        <v>97253.397</v>
      </c>
      <c r="D17" s="27" t="n">
        <f aca="false">'API Costs'!N17</f>
        <v>64414.7494848</v>
      </c>
      <c r="E17" s="27" t="n">
        <f aca="false">'Fixed OpEx'!J17</f>
        <v>3288</v>
      </c>
      <c r="F17" s="28" t="n">
        <f aca="false">D17+E17</f>
        <v>67702.7494848</v>
      </c>
      <c r="G17" s="28" t="n">
        <f aca="false">C17-F17</f>
        <v>29550.6475152</v>
      </c>
      <c r="H17" s="28" t="n">
        <f aca="false">H16+G17</f>
        <v>165251.3391472</v>
      </c>
      <c r="I17" s="20" t="str">
        <f aca="false">IF(AND(H17&gt;0,H16&lt;=0),"✓ BREAK-EVEN",IF(H17&gt;0,"▲ Profitable",""))</f>
        <v>▲ Profitable</v>
      </c>
    </row>
    <row r="18" customFormat="false" ht="15" hidden="false" customHeight="false" outlineLevel="0" collapsed="false">
      <c r="A18" s="18" t="n">
        <v>17</v>
      </c>
      <c r="B18" s="18" t="s">
        <v>100</v>
      </c>
      <c r="C18" s="26" t="n">
        <f aca="false">Revenue!H18</f>
        <v>107135.01</v>
      </c>
      <c r="D18" s="26" t="n">
        <f aca="false">'API Costs'!N18</f>
        <v>70993.689624</v>
      </c>
      <c r="E18" s="26" t="n">
        <f aca="false">'Fixed OpEx'!J18</f>
        <v>3288</v>
      </c>
      <c r="F18" s="14" t="n">
        <f aca="false">D18+E18</f>
        <v>74281.689624</v>
      </c>
      <c r="G18" s="14" t="n">
        <f aca="false">C18-F18</f>
        <v>32853.320376</v>
      </c>
      <c r="H18" s="14" t="n">
        <f aca="false">H17+G18</f>
        <v>198104.6595232</v>
      </c>
      <c r="I18" s="18" t="str">
        <f aca="false">IF(AND(H18&gt;0,H17&lt;=0),"✓ BREAK-EVEN",IF(H18&gt;0,"▲ Profitable",""))</f>
        <v>▲ Profitable</v>
      </c>
    </row>
    <row r="19" customFormat="false" ht="15" hidden="false" customHeight="false" outlineLevel="0" collapsed="false">
      <c r="A19" s="20" t="n">
        <v>18</v>
      </c>
      <c r="B19" s="20" t="s">
        <v>100</v>
      </c>
      <c r="C19" s="27" t="n">
        <f aca="false">Revenue!H19</f>
        <v>118093.761</v>
      </c>
      <c r="D19" s="27" t="n">
        <f aca="false">'API Costs'!N19</f>
        <v>78082.0779024</v>
      </c>
      <c r="E19" s="27" t="n">
        <f aca="false">'Fixed OpEx'!J19</f>
        <v>3288</v>
      </c>
      <c r="F19" s="28" t="n">
        <f aca="false">D19+E19</f>
        <v>81370.0779024</v>
      </c>
      <c r="G19" s="28" t="n">
        <f aca="false">C19-F19</f>
        <v>36723.6830976</v>
      </c>
      <c r="H19" s="28" t="n">
        <f aca="false">H18+G19</f>
        <v>234828.3426208</v>
      </c>
      <c r="I19" s="20" t="str">
        <f aca="false">IF(AND(H19&gt;0,H18&lt;=0),"✓ BREAK-EVEN",IF(H19&gt;0,"▲ Profitable",""))</f>
        <v>▲ Profitable</v>
      </c>
    </row>
    <row r="20" customFormat="false" ht="15" hidden="false" customHeight="false" outlineLevel="0" collapsed="false">
      <c r="A20" s="18" t="n">
        <v>19</v>
      </c>
      <c r="B20" s="18" t="s">
        <v>100</v>
      </c>
      <c r="C20" s="26" t="n">
        <f aca="false">Revenue!H20</f>
        <v>129932.469</v>
      </c>
      <c r="D20" s="26" t="n">
        <f aca="false">'API Costs'!N20</f>
        <v>85914.0206496</v>
      </c>
      <c r="E20" s="26" t="n">
        <f aca="false">'Fixed OpEx'!J20</f>
        <v>3288</v>
      </c>
      <c r="F20" s="14" t="n">
        <f aca="false">D20+E20</f>
        <v>89202.0206496</v>
      </c>
      <c r="G20" s="14" t="n">
        <f aca="false">C20-F20</f>
        <v>40730.4483504</v>
      </c>
      <c r="H20" s="14" t="n">
        <f aca="false">H19+G20</f>
        <v>275558.7909712</v>
      </c>
      <c r="I20" s="18" t="str">
        <f aca="false">IF(AND(H20&gt;0,H19&lt;=0),"✓ BREAK-EVEN",IF(H20&gt;0,"▲ Profitable",""))</f>
        <v>▲ Profitable</v>
      </c>
    </row>
    <row r="21" customFormat="false" ht="15" hidden="false" customHeight="false" outlineLevel="0" collapsed="false">
      <c r="A21" s="20" t="n">
        <v>20</v>
      </c>
      <c r="B21" s="20" t="s">
        <v>100</v>
      </c>
      <c r="C21" s="27" t="n">
        <f aca="false">Revenue!H21</f>
        <v>142651.134</v>
      </c>
      <c r="D21" s="27" t="n">
        <f aca="false">'API Costs'!N21</f>
        <v>94489.5178656</v>
      </c>
      <c r="E21" s="27" t="n">
        <f aca="false">'Fixed OpEx'!J21</f>
        <v>3288</v>
      </c>
      <c r="F21" s="28" t="n">
        <f aca="false">D21+E21</f>
        <v>97777.5178656</v>
      </c>
      <c r="G21" s="28" t="n">
        <f aca="false">C21-F21</f>
        <v>44873.6161344</v>
      </c>
      <c r="H21" s="28" t="n">
        <f aca="false">H20+G21</f>
        <v>320432.4071056</v>
      </c>
      <c r="I21" s="20" t="str">
        <f aca="false">IF(AND(H21&gt;0,H20&lt;=0),"✓ BREAK-EVEN",IF(H21&gt;0,"▲ Profitable",""))</f>
        <v>▲ Profitable</v>
      </c>
    </row>
    <row r="22" customFormat="false" ht="15" hidden="false" customHeight="false" outlineLevel="0" collapsed="false">
      <c r="A22" s="18" t="n">
        <v>21</v>
      </c>
      <c r="B22" s="18" t="s">
        <v>100</v>
      </c>
      <c r="C22" s="26" t="n">
        <f aca="false">Revenue!H22</f>
        <v>156740.256</v>
      </c>
      <c r="D22" s="26" t="n">
        <f aca="false">'API Costs'!N22</f>
        <v>103843.3185504</v>
      </c>
      <c r="E22" s="26" t="n">
        <f aca="false">'Fixed OpEx'!J22</f>
        <v>3288</v>
      </c>
      <c r="F22" s="14" t="n">
        <f aca="false">D22+E22</f>
        <v>107131.3185504</v>
      </c>
      <c r="G22" s="14" t="n">
        <f aca="false">C22-F22</f>
        <v>49608.9374496</v>
      </c>
      <c r="H22" s="14" t="n">
        <f aca="false">H21+G22</f>
        <v>370041.3445552</v>
      </c>
      <c r="I22" s="18" t="str">
        <f aca="false">IF(AND(H22&gt;0,H21&lt;=0),"✓ BREAK-EVEN",IF(H22&gt;0,"▲ Profitable",""))</f>
        <v>▲ Profitable</v>
      </c>
    </row>
    <row r="23" customFormat="false" ht="15" hidden="false" customHeight="false" outlineLevel="0" collapsed="false">
      <c r="A23" s="20" t="n">
        <v>22</v>
      </c>
      <c r="B23" s="20" t="s">
        <v>100</v>
      </c>
      <c r="C23" s="27" t="n">
        <f aca="false">Revenue!H23</f>
        <v>172786.473</v>
      </c>
      <c r="D23" s="27" t="n">
        <f aca="false">'API Costs'!N23</f>
        <v>114324.0988032</v>
      </c>
      <c r="E23" s="27" t="n">
        <f aca="false">'Fixed OpEx'!J23</f>
        <v>3288</v>
      </c>
      <c r="F23" s="28" t="n">
        <f aca="false">D23+E23</f>
        <v>117612.0988032</v>
      </c>
      <c r="G23" s="28" t="n">
        <f aca="false">C23-F23</f>
        <v>55174.3741968</v>
      </c>
      <c r="H23" s="28" t="n">
        <f aca="false">H22+G23</f>
        <v>425215.718752</v>
      </c>
      <c r="I23" s="20" t="str">
        <f aca="false">IF(AND(H23&gt;0,H22&lt;=0),"✓ BREAK-EVEN",IF(H23&gt;0,"▲ Profitable",""))</f>
        <v>▲ Profitable</v>
      </c>
    </row>
    <row r="24" customFormat="false" ht="15" hidden="false" customHeight="false" outlineLevel="0" collapsed="false">
      <c r="A24" s="18" t="n">
        <v>23</v>
      </c>
      <c r="B24" s="18" t="s">
        <v>100</v>
      </c>
      <c r="C24" s="26" t="n">
        <f aca="false">Revenue!H24</f>
        <v>190005.966</v>
      </c>
      <c r="D24" s="26" t="n">
        <f aca="false">'API Costs'!N24</f>
        <v>125848.7946144</v>
      </c>
      <c r="E24" s="26" t="n">
        <f aca="false">'Fixed OpEx'!J24</f>
        <v>3288</v>
      </c>
      <c r="F24" s="14" t="n">
        <f aca="false">D24+E24</f>
        <v>129136.7946144</v>
      </c>
      <c r="G24" s="14" t="n">
        <f aca="false">C24-F24</f>
        <v>60869.1713856</v>
      </c>
      <c r="H24" s="14" t="n">
        <f aca="false">H23+G24</f>
        <v>486084.8901376</v>
      </c>
      <c r="I24" s="18" t="str">
        <f aca="false">IF(AND(H24&gt;0,H23&lt;=0),"✓ BREAK-EVEN",IF(H24&gt;0,"▲ Profitable",""))</f>
        <v>▲ Profitable</v>
      </c>
    </row>
    <row r="25" customFormat="false" ht="15" hidden="false" customHeight="false" outlineLevel="0" collapsed="false">
      <c r="A25" s="20" t="n">
        <v>24</v>
      </c>
      <c r="B25" s="20" t="s">
        <v>100</v>
      </c>
      <c r="C25" s="27" t="n">
        <f aca="false">Revenue!H25</f>
        <v>208889.235</v>
      </c>
      <c r="D25" s="27" t="n">
        <f aca="false">'API Costs'!N25</f>
        <v>138357.637704</v>
      </c>
      <c r="E25" s="27" t="n">
        <f aca="false">'Fixed OpEx'!J25</f>
        <v>3288</v>
      </c>
      <c r="F25" s="28" t="n">
        <f aca="false">D25+E25</f>
        <v>141645.637704</v>
      </c>
      <c r="G25" s="28" t="n">
        <f aca="false">C25-F25</f>
        <v>67243.597296</v>
      </c>
      <c r="H25" s="28" t="n">
        <f aca="false">H24+G25</f>
        <v>553328.4874336</v>
      </c>
      <c r="I25" s="20" t="str">
        <f aca="false">IF(AND(H25&gt;0,H24&lt;=0),"✓ BREAK-EVEN",IF(H25&gt;0,"▲ Profitable",""))</f>
        <v>▲ Profitable</v>
      </c>
    </row>
    <row r="26" customFormat="false" ht="15" hidden="false" customHeight="false" outlineLevel="0" collapsed="false">
      <c r="A26" s="18" t="n">
        <v>25</v>
      </c>
      <c r="B26" s="18" t="s">
        <v>101</v>
      </c>
      <c r="C26" s="26" t="n">
        <f aca="false">Revenue!H26</f>
        <v>225522.09</v>
      </c>
      <c r="D26" s="26" t="n">
        <f aca="false">'API Costs'!N26</f>
        <v>182965.860792</v>
      </c>
      <c r="E26" s="26" t="n">
        <f aca="false">'Fixed OpEx'!J26</f>
        <v>3288</v>
      </c>
      <c r="F26" s="14" t="n">
        <f aca="false">D26+E26</f>
        <v>186253.860792</v>
      </c>
      <c r="G26" s="14" t="n">
        <f aca="false">C26-F26</f>
        <v>39268.229208</v>
      </c>
      <c r="H26" s="14" t="n">
        <f aca="false">H25+G26</f>
        <v>592596.7166416</v>
      </c>
      <c r="I26" s="18" t="str">
        <f aca="false">IF(AND(H26&gt;0,H25&lt;=0),"✓ BREAK-EVEN",IF(H26&gt;0,"▲ Profitable",""))</f>
        <v>▲ Profitable</v>
      </c>
    </row>
    <row r="27" customFormat="false" ht="15" hidden="false" customHeight="false" outlineLevel="0" collapsed="false">
      <c r="A27" s="20" t="n">
        <v>26</v>
      </c>
      <c r="B27" s="20" t="s">
        <v>101</v>
      </c>
      <c r="C27" s="27" t="n">
        <f aca="false">Revenue!H27</f>
        <v>243034.902</v>
      </c>
      <c r="D27" s="27" t="n">
        <f aca="false">'API Costs'!N27</f>
        <v>197374.1305536</v>
      </c>
      <c r="E27" s="27" t="n">
        <f aca="false">'Fixed OpEx'!J27</f>
        <v>3288</v>
      </c>
      <c r="F27" s="28" t="n">
        <f aca="false">D27+E27</f>
        <v>200662.1305536</v>
      </c>
      <c r="G27" s="28" t="n">
        <f aca="false">C27-F27</f>
        <v>42372.7714464</v>
      </c>
      <c r="H27" s="28" t="n">
        <f aca="false">H26+G27</f>
        <v>634969.488088</v>
      </c>
      <c r="I27" s="20" t="str">
        <f aca="false">IF(AND(H27&gt;0,H26&lt;=0),"✓ BREAK-EVEN",IF(H27&gt;0,"▲ Profitable",""))</f>
        <v>▲ Profitable</v>
      </c>
    </row>
    <row r="28" customFormat="false" ht="15" hidden="false" customHeight="false" outlineLevel="0" collapsed="false">
      <c r="A28" s="18" t="n">
        <v>27</v>
      </c>
      <c r="B28" s="18" t="s">
        <v>101</v>
      </c>
      <c r="C28" s="26" t="n">
        <f aca="false">Revenue!H28</f>
        <v>262995.309</v>
      </c>
      <c r="D28" s="26" t="n">
        <f aca="false">'API Costs'!N28</f>
        <v>213238.9857312</v>
      </c>
      <c r="E28" s="26" t="n">
        <f aca="false">'Fixed OpEx'!J28</f>
        <v>3288</v>
      </c>
      <c r="F28" s="14" t="n">
        <f aca="false">D28+E28</f>
        <v>216526.9857312</v>
      </c>
      <c r="G28" s="14" t="n">
        <f aca="false">C28-F28</f>
        <v>46468.3232688</v>
      </c>
      <c r="H28" s="14" t="n">
        <f aca="false">H27+G28</f>
        <v>681437.8113568</v>
      </c>
      <c r="I28" s="18" t="str">
        <f aca="false">IF(AND(H28&gt;0,H27&lt;=0),"✓ BREAK-EVEN",IF(H28&gt;0,"▲ Profitable",""))</f>
        <v>▲ Profitable</v>
      </c>
    </row>
    <row r="29" customFormat="false" ht="15" hidden="false" customHeight="false" outlineLevel="0" collapsed="false">
      <c r="A29" s="20" t="n">
        <v>28</v>
      </c>
      <c r="B29" s="20" t="s">
        <v>101</v>
      </c>
      <c r="C29" s="27" t="n">
        <f aca="false">Revenue!H29</f>
        <v>283345.173</v>
      </c>
      <c r="D29" s="27" t="n">
        <f aca="false">'API Costs'!N29</f>
        <v>230055.1460064</v>
      </c>
      <c r="E29" s="27" t="n">
        <f aca="false">'Fixed OpEx'!J29</f>
        <v>3288</v>
      </c>
      <c r="F29" s="28" t="n">
        <f aca="false">D29+E29</f>
        <v>233343.1460064</v>
      </c>
      <c r="G29" s="28" t="n">
        <f aca="false">C29-F29</f>
        <v>50002.0269936</v>
      </c>
      <c r="H29" s="28" t="n">
        <f aca="false">H28+G29</f>
        <v>731439.8383504</v>
      </c>
      <c r="I29" s="20" t="str">
        <f aca="false">IF(AND(H29&gt;0,H28&lt;=0),"✓ BREAK-EVEN",IF(H29&gt;0,"▲ Profitable",""))</f>
        <v>▲ Profitable</v>
      </c>
    </row>
    <row r="30" customFormat="false" ht="15" hidden="false" customHeight="false" outlineLevel="0" collapsed="false">
      <c r="A30" s="18" t="n">
        <v>29</v>
      </c>
      <c r="B30" s="18" t="s">
        <v>101</v>
      </c>
      <c r="C30" s="26" t="n">
        <f aca="false">Revenue!H30</f>
        <v>306435.951</v>
      </c>
      <c r="D30" s="26" t="n">
        <f aca="false">'API Costs'!N30</f>
        <v>248617.6231968</v>
      </c>
      <c r="E30" s="26" t="n">
        <f aca="false">'Fixed OpEx'!J30</f>
        <v>3288</v>
      </c>
      <c r="F30" s="14" t="n">
        <f aca="false">D30+E30</f>
        <v>251905.6231968</v>
      </c>
      <c r="G30" s="14" t="n">
        <f aca="false">C30-F30</f>
        <v>54530.3278032</v>
      </c>
      <c r="H30" s="14" t="n">
        <f aca="false">H29+G30</f>
        <v>785970.1661536</v>
      </c>
      <c r="I30" s="18" t="str">
        <f aca="false">IF(AND(H30&gt;0,H29&lt;=0),"✓ BREAK-EVEN",IF(H30&gt;0,"▲ Profitable",""))</f>
        <v>▲ Profitable</v>
      </c>
    </row>
    <row r="31" customFormat="false" ht="15" hidden="false" customHeight="false" outlineLevel="0" collapsed="false">
      <c r="A31" s="20" t="n">
        <v>30</v>
      </c>
      <c r="B31" s="20" t="s">
        <v>101</v>
      </c>
      <c r="C31" s="27" t="n">
        <f aca="false">Revenue!H31</f>
        <v>330700.005</v>
      </c>
      <c r="D31" s="27" t="n">
        <f aca="false">'API Costs'!N31</f>
        <v>268425.100944</v>
      </c>
      <c r="E31" s="27" t="n">
        <f aca="false">'Fixed OpEx'!J31</f>
        <v>3288</v>
      </c>
      <c r="F31" s="28" t="n">
        <f aca="false">D31+E31</f>
        <v>271713.100944</v>
      </c>
      <c r="G31" s="28" t="n">
        <f aca="false">C31-F31</f>
        <v>58986.9040560001</v>
      </c>
      <c r="H31" s="28" t="n">
        <f aca="false">H30+G31</f>
        <v>844957.0702096</v>
      </c>
      <c r="I31" s="20" t="str">
        <f aca="false">IF(AND(H31&gt;0,H30&lt;=0),"✓ BREAK-EVEN",IF(H31&gt;0,"▲ Profitable",""))</f>
        <v>▲ Profitable</v>
      </c>
    </row>
    <row r="32" customFormat="false" ht="15" hidden="false" customHeight="false" outlineLevel="0" collapsed="false">
      <c r="A32" s="18" t="n">
        <v>31</v>
      </c>
      <c r="B32" s="18" t="s">
        <v>101</v>
      </c>
      <c r="C32" s="26" t="n">
        <f aca="false">Revenue!H32</f>
        <v>356921.154</v>
      </c>
      <c r="D32" s="26" t="n">
        <f aca="false">'API Costs'!N32</f>
        <v>289728.2374272</v>
      </c>
      <c r="E32" s="26" t="n">
        <f aca="false">'Fixed OpEx'!J32</f>
        <v>3288</v>
      </c>
      <c r="F32" s="14" t="n">
        <f aca="false">D32+E32</f>
        <v>293016.2374272</v>
      </c>
      <c r="G32" s="14" t="n">
        <f aca="false">C32-F32</f>
        <v>63904.9165728</v>
      </c>
      <c r="H32" s="14" t="n">
        <f aca="false">H31+G32</f>
        <v>908861.9867824</v>
      </c>
      <c r="I32" s="18" t="str">
        <f aca="false">IF(AND(H32&gt;0,H31&lt;=0),"✓ BREAK-EVEN",IF(H32&gt;0,"▲ Profitable",""))</f>
        <v>▲ Profitable</v>
      </c>
    </row>
    <row r="33" customFormat="false" ht="15" hidden="false" customHeight="false" outlineLevel="0" collapsed="false">
      <c r="A33" s="20" t="n">
        <v>32</v>
      </c>
      <c r="B33" s="20" t="s">
        <v>101</v>
      </c>
      <c r="C33" s="27" t="n">
        <f aca="false">Revenue!H33</f>
        <v>385392.717</v>
      </c>
      <c r="D33" s="27" t="n">
        <f aca="false">'API Costs'!N33</f>
        <v>312816.7641456</v>
      </c>
      <c r="E33" s="27" t="n">
        <f aca="false">'Fixed OpEx'!J33</f>
        <v>3288</v>
      </c>
      <c r="F33" s="28" t="n">
        <f aca="false">D33+E33</f>
        <v>316104.7641456</v>
      </c>
      <c r="G33" s="28" t="n">
        <f aca="false">C33-F33</f>
        <v>69287.9528544</v>
      </c>
      <c r="H33" s="28" t="n">
        <f aca="false">H32+G33</f>
        <v>978149.9396368</v>
      </c>
      <c r="I33" s="20" t="str">
        <f aca="false">IF(AND(H33&gt;0,H32&lt;=0),"✓ BREAK-EVEN",IF(H33&gt;0,"▲ Profitable",""))</f>
        <v>▲ Profitable</v>
      </c>
    </row>
    <row r="34" customFormat="false" ht="15" hidden="false" customHeight="false" outlineLevel="0" collapsed="false">
      <c r="A34" s="18" t="n">
        <v>33</v>
      </c>
      <c r="B34" s="18" t="s">
        <v>101</v>
      </c>
      <c r="C34" s="26" t="n">
        <f aca="false">Revenue!H34</f>
        <v>416114.694</v>
      </c>
      <c r="D34" s="26" t="n">
        <f aca="false">'API Costs'!N34</f>
        <v>337733.7183792</v>
      </c>
      <c r="E34" s="26" t="n">
        <f aca="false">'Fixed OpEx'!J34</f>
        <v>3288</v>
      </c>
      <c r="F34" s="14" t="n">
        <f aca="false">D34+E34</f>
        <v>341021.7183792</v>
      </c>
      <c r="G34" s="14" t="n">
        <f aca="false">C34-F34</f>
        <v>75092.9756208001</v>
      </c>
      <c r="H34" s="14" t="n">
        <f aca="false">H33+G34</f>
        <v>1053242.9152576</v>
      </c>
      <c r="I34" s="18" t="str">
        <f aca="false">IF(AND(H34&gt;0,H33&lt;=0),"✓ BREAK-EVEN",IF(H34&gt;0,"▲ Profitable",""))</f>
        <v>▲ Profitable</v>
      </c>
    </row>
    <row r="35" customFormat="false" ht="15" hidden="false" customHeight="false" outlineLevel="0" collapsed="false">
      <c r="A35" s="20" t="n">
        <v>34</v>
      </c>
      <c r="B35" s="20" t="s">
        <v>101</v>
      </c>
      <c r="C35" s="27" t="n">
        <f aca="false">Revenue!H35</f>
        <v>449380.404</v>
      </c>
      <c r="D35" s="27" t="n">
        <f aca="false">'API Costs'!N35</f>
        <v>364725.7943472</v>
      </c>
      <c r="E35" s="27" t="n">
        <f aca="false">'Fixed OpEx'!J35</f>
        <v>3288</v>
      </c>
      <c r="F35" s="28" t="n">
        <f aca="false">D35+E35</f>
        <v>368013.7943472</v>
      </c>
      <c r="G35" s="28" t="n">
        <f aca="false">C35-F35</f>
        <v>81366.6096528</v>
      </c>
      <c r="H35" s="28" t="n">
        <f aca="false">H34+G35</f>
        <v>1134609.5249104</v>
      </c>
      <c r="I35" s="20" t="str">
        <f aca="false">IF(AND(H35&gt;0,H34&lt;=0),"✓ BREAK-EVEN",IF(H35&gt;0,"▲ Profitable",""))</f>
        <v>▲ Profitable</v>
      </c>
    </row>
    <row r="36" customFormat="false" ht="15" hidden="false" customHeight="false" outlineLevel="0" collapsed="false">
      <c r="A36" s="18" t="n">
        <v>35</v>
      </c>
      <c r="B36" s="18" t="s">
        <v>101</v>
      </c>
      <c r="C36" s="26" t="n">
        <f aca="false">Revenue!H36</f>
        <v>485189.847</v>
      </c>
      <c r="D36" s="26" t="n">
        <f aca="false">'API Costs'!N36</f>
        <v>393792.9920496</v>
      </c>
      <c r="E36" s="26" t="n">
        <f aca="false">'Fixed OpEx'!J36</f>
        <v>3288</v>
      </c>
      <c r="F36" s="14" t="n">
        <f aca="false">D36+E36</f>
        <v>397080.9920496</v>
      </c>
      <c r="G36" s="14" t="n">
        <f aca="false">C36-F36</f>
        <v>88108.8549504</v>
      </c>
      <c r="H36" s="14" t="n">
        <f aca="false">H35+G36</f>
        <v>1222718.3798608</v>
      </c>
      <c r="I36" s="18" t="str">
        <f aca="false">IF(AND(H36&gt;0,H35&lt;=0),"✓ BREAK-EVEN",IF(H36&gt;0,"▲ Profitable",""))</f>
        <v>▲ Profitable</v>
      </c>
    </row>
    <row r="37" customFormat="false" ht="15" hidden="false" customHeight="false" outlineLevel="0" collapsed="false">
      <c r="A37" s="20" t="n">
        <v>36</v>
      </c>
      <c r="B37" s="20" t="s">
        <v>101</v>
      </c>
      <c r="C37" s="27" t="n">
        <f aca="false">Revenue!H37</f>
        <v>524326.842</v>
      </c>
      <c r="D37" s="27" t="n">
        <f aca="false">'API Costs'!N37</f>
        <v>425272.0442256</v>
      </c>
      <c r="E37" s="27" t="n">
        <f aca="false">'Fixed OpEx'!J37</f>
        <v>3288</v>
      </c>
      <c r="F37" s="28" t="n">
        <f aca="false">D37+E37</f>
        <v>428560.0442256</v>
      </c>
      <c r="G37" s="28" t="n">
        <f aca="false">C37-F37</f>
        <v>95766.7977744</v>
      </c>
      <c r="H37" s="28" t="n">
        <f aca="false">H36+G37</f>
        <v>1318485.1776352</v>
      </c>
      <c r="I37" s="20" t="str">
        <f aca="false">IF(AND(H37&gt;0,H36&lt;=0),"✓ BREAK-EVEN",IF(H37&gt;0,"▲ Profitable",""))</f>
        <v>▲ Profitable</v>
      </c>
    </row>
  </sheetData>
  <mergeCells count="1">
    <mergeCell ref="K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  <col collapsed="false" customWidth="true" hidden="false" outlineLevel="0" max="6" min="6" style="0" width="4"/>
    <col collapsed="false" customWidth="true" hidden="false" outlineLevel="0" max="8" min="7" style="0" width="20"/>
  </cols>
  <sheetData>
    <row r="1" customFormat="false" ht="19.7" hidden="false" customHeight="false" outlineLevel="0" collapsed="false">
      <c r="A1" s="40" t="s">
        <v>180</v>
      </c>
      <c r="B1" s="40"/>
      <c r="C1" s="40"/>
      <c r="D1" s="40"/>
      <c r="E1" s="40"/>
      <c r="F1" s="40"/>
      <c r="G1" s="40"/>
      <c r="H1" s="40"/>
    </row>
    <row r="2" customFormat="false" ht="15" hidden="false" customHeight="false" outlineLevel="0" collapsed="false">
      <c r="A2" s="41" t="s">
        <v>181</v>
      </c>
      <c r="B2" s="41"/>
      <c r="C2" s="41"/>
      <c r="D2" s="41"/>
      <c r="E2" s="41"/>
      <c r="F2" s="41"/>
      <c r="G2" s="41"/>
      <c r="H2" s="41"/>
    </row>
    <row r="4" customFormat="false" ht="15" hidden="false" customHeight="false" outlineLevel="0" collapsed="false">
      <c r="B4" s="42" t="s">
        <v>144</v>
      </c>
      <c r="C4" s="42" t="s">
        <v>145</v>
      </c>
      <c r="D4" s="42" t="s">
        <v>146</v>
      </c>
      <c r="G4" s="42" t="s">
        <v>144</v>
      </c>
      <c r="H4" s="42" t="s">
        <v>145</v>
      </c>
      <c r="I4" s="42" t="s">
        <v>146</v>
      </c>
    </row>
    <row r="5" customFormat="false" ht="15" hidden="false" customHeight="false" outlineLevel="0" collapsed="false">
      <c r="A5" s="43" t="s">
        <v>182</v>
      </c>
      <c r="B5" s="43"/>
      <c r="C5" s="43"/>
      <c r="D5" s="43"/>
    </row>
    <row r="6" customFormat="false" ht="15" hidden="false" customHeight="false" outlineLevel="0" collapsed="false">
      <c r="A6" s="44" t="s">
        <v>183</v>
      </c>
      <c r="B6" s="25" t="n">
        <f aca="false">'User Growth'!G13</f>
        <v>399</v>
      </c>
      <c r="C6" s="25" t="n">
        <f aca="false">'User Growth'!G25</f>
        <v>1256</v>
      </c>
      <c r="D6" s="25" t="n">
        <f aca="false">'User Growth'!G37</f>
        <v>3151</v>
      </c>
    </row>
    <row r="7" customFormat="false" ht="15" hidden="false" customHeight="false" outlineLevel="0" collapsed="false">
      <c r="A7" s="44" t="s">
        <v>184</v>
      </c>
      <c r="B7" s="25" t="n">
        <f aca="false">'User Growth'!E13</f>
        <v>160</v>
      </c>
      <c r="C7" s="25" t="n">
        <f aca="false">'User Growth'!E25</f>
        <v>477</v>
      </c>
      <c r="D7" s="25" t="n">
        <f aca="false">'User Growth'!E37</f>
        <v>1197</v>
      </c>
    </row>
    <row r="9" customFormat="false" ht="15" hidden="false" customHeight="false" outlineLevel="0" collapsed="false">
      <c r="A9" s="43" t="s">
        <v>185</v>
      </c>
      <c r="B9" s="43"/>
      <c r="C9" s="43"/>
      <c r="D9" s="43"/>
    </row>
    <row r="10" customFormat="false" ht="15" hidden="false" customHeight="false" outlineLevel="0" collapsed="false">
      <c r="A10" s="44" t="s">
        <v>151</v>
      </c>
      <c r="B10" s="26" t="n">
        <f aca="false">SUMIF(Revenue!B:B,"Y1",Revenue!F:F)</f>
        <v>276774</v>
      </c>
      <c r="C10" s="26" t="n">
        <f aca="false">SUMIF(Revenue!B:B,"Y2",Revenue!F:F)</f>
        <v>1595966</v>
      </c>
      <c r="D10" s="26" t="n">
        <f aca="false">SUMIF(Revenue!B:B,"Y3",Revenue!F:F)</f>
        <v>4352048</v>
      </c>
    </row>
    <row r="11" customFormat="false" ht="15" hidden="false" customHeight="false" outlineLevel="0" collapsed="false">
      <c r="A11" s="44" t="s">
        <v>170</v>
      </c>
      <c r="B11" s="26" t="n">
        <f aca="false">'P&amp;L'!B10</f>
        <v>271515.294</v>
      </c>
      <c r="C11" s="26" t="n">
        <f aca="false">'P&amp;L'!C10</f>
        <v>1565642.646</v>
      </c>
      <c r="D11" s="26" t="n">
        <f aca="false">'P&amp;L'!D10</f>
        <v>4269359.088</v>
      </c>
    </row>
    <row r="13" customFormat="false" ht="15" hidden="false" customHeight="false" outlineLevel="0" collapsed="false">
      <c r="A13" s="43" t="s">
        <v>186</v>
      </c>
      <c r="B13" s="43"/>
      <c r="C13" s="43"/>
      <c r="D13" s="43"/>
    </row>
    <row r="14" customFormat="false" ht="15" hidden="false" customHeight="false" outlineLevel="0" collapsed="false">
      <c r="B14" s="14" t="n">
        <f aca="false">SUMIF('API Costs'!B:B,"Y1",'API Costs'!N:N)</f>
        <v>156704.4336</v>
      </c>
      <c r="C14" s="14" t="n">
        <f aca="false">SUMIF('API Costs'!B:B,"Y2",'API Costs'!N:N)</f>
        <v>1036631.0189664</v>
      </c>
      <c r="D14" s="14" t="n">
        <f aca="false">SUMIF('API Costs'!B:B,"Y3",'API Costs'!N:N)</f>
        <v>3464746.3977984</v>
      </c>
    </row>
    <row r="16" customFormat="false" ht="15" hidden="false" customHeight="false" outlineLevel="0" collapsed="false">
      <c r="A16" s="43" t="s">
        <v>187</v>
      </c>
      <c r="B16" s="43"/>
      <c r="C16" s="43"/>
      <c r="D16" s="43"/>
    </row>
    <row r="17" customFormat="false" ht="15" hidden="false" customHeight="false" outlineLevel="0" collapsed="false">
      <c r="A17" s="44" t="s">
        <v>188</v>
      </c>
      <c r="B17" s="26" t="n">
        <f aca="false">'P&amp;L'!B18</f>
        <v>114810.8604</v>
      </c>
      <c r="C17" s="26" t="n">
        <f aca="false">'P&amp;L'!C18</f>
        <v>529011.6270336</v>
      </c>
      <c r="D17" s="26" t="n">
        <f aca="false">'P&amp;L'!D18</f>
        <v>804612.6902016</v>
      </c>
    </row>
    <row r="18" customFormat="false" ht="15" hidden="false" customHeight="false" outlineLevel="0" collapsed="false">
      <c r="A18" s="44" t="s">
        <v>163</v>
      </c>
      <c r="B18" s="26" t="n">
        <f aca="false">'P&amp;L'!B24</f>
        <v>93372.8604</v>
      </c>
      <c r="C18" s="26" t="n">
        <f aca="false">'P&amp;L'!C24</f>
        <v>489555.6270336</v>
      </c>
      <c r="D18" s="26" t="n">
        <f aca="false">'P&amp;L'!D24</f>
        <v>765156.6902016</v>
      </c>
    </row>
    <row r="19" customFormat="false" ht="15" hidden="false" customHeight="false" outlineLevel="0" collapsed="false">
      <c r="A19" s="15" t="s">
        <v>168</v>
      </c>
      <c r="B19" s="45" t="n">
        <f aca="false">'P&amp;L'!B31</f>
        <v>63772.8604</v>
      </c>
      <c r="C19" s="45" t="n">
        <f aca="false">'P&amp;L'!C31</f>
        <v>489555.6270336</v>
      </c>
      <c r="D19" s="45" t="n">
        <f aca="false">'P&amp;L'!D31</f>
        <v>765156.6902016</v>
      </c>
    </row>
    <row r="21" customFormat="false" ht="15" hidden="false" customHeight="false" outlineLevel="0" collapsed="false">
      <c r="A21" s="43" t="s">
        <v>189</v>
      </c>
      <c r="B21" s="43"/>
      <c r="C21" s="43"/>
      <c r="D21" s="43"/>
    </row>
    <row r="22" customFormat="false" ht="17.35" hidden="false" customHeight="false" outlineLevel="0" collapsed="false">
      <c r="A22" s="44" t="s">
        <v>190</v>
      </c>
      <c r="B22" s="46" t="n">
        <f aca="false">IFERROR(MATCH(TRUE(),'Break-Even'!H2:H37&gt;0,0),"Not in Y1-Y3")</f>
        <v>5</v>
      </c>
    </row>
    <row r="24" customFormat="false" ht="15" hidden="false" customHeight="false" outlineLevel="0" collapsed="false">
      <c r="A24" s="43" t="s">
        <v>191</v>
      </c>
      <c r="B24" s="43"/>
      <c r="C24" s="43"/>
      <c r="D24" s="43"/>
    </row>
    <row r="25" customFormat="false" ht="15" hidden="false" customHeight="false" outlineLevel="0" collapsed="false">
      <c r="A25" s="44" t="s">
        <v>192</v>
      </c>
      <c r="B25" s="14" t="n">
        <f aca="false">Assumptions!$B$95</f>
        <v>20.592</v>
      </c>
    </row>
    <row r="26" customFormat="false" ht="15" hidden="false" customHeight="false" outlineLevel="0" collapsed="false">
      <c r="A26" s="44" t="s">
        <v>193</v>
      </c>
      <c r="B26" s="14" t="n">
        <f aca="false">Assumptions!$B$96</f>
        <v>158.9016</v>
      </c>
    </row>
    <row r="27" customFormat="false" ht="15" hidden="false" customHeight="false" outlineLevel="0" collapsed="false">
      <c r="A27" s="44" t="s">
        <v>27</v>
      </c>
      <c r="B27" s="26" t="n">
        <f aca="false">Assumptions!$B$30</f>
        <v>299</v>
      </c>
    </row>
    <row r="28" customFormat="false" ht="15" hidden="false" customHeight="false" outlineLevel="0" collapsed="false">
      <c r="A28" s="44" t="s">
        <v>194</v>
      </c>
      <c r="B28" s="14" t="n">
        <f aca="false">Assumptions!$B$30-Assumptions!$B$96</f>
        <v>140.0984</v>
      </c>
    </row>
    <row r="29" customFormat="false" ht="15" hidden="false" customHeight="false" outlineLevel="0" collapsed="false">
      <c r="A29" s="44" t="s">
        <v>195</v>
      </c>
      <c r="B29" s="13" t="n">
        <f aca="false">IF(Assumptions!$B$30=0,0,(Assumptions!$B$30-Assumptions!$B$96)/Assumptions!$B$30)</f>
        <v>0.46855652173913</v>
      </c>
    </row>
  </sheetData>
  <mergeCells count="8">
    <mergeCell ref="A1:H1"/>
    <mergeCell ref="A2:H2"/>
    <mergeCell ref="A5:D5"/>
    <mergeCell ref="A9:D9"/>
    <mergeCell ref="A13:D13"/>
    <mergeCell ref="A16:D16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2026-03-07T10:23:22Z</dcterms:created>
  <dc:creator>openpyxl</dc:creator>
  <dc:description/>
  <dc:language>en-US</dc:language>
  <cp:lastModifiedBy/>
  <dcterms:modified xsi:type="dcterms:W3CDTF">2026-03-07T10:23:22Z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