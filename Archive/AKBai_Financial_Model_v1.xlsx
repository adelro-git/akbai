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User Growth" sheetId="2" state="visible" r:id="rId4"/>
    <sheet name="Revenue Model" sheetId="3" state="visible" r:id="rId5"/>
    <sheet name="CapEx" sheetId="4" state="visible" r:id="rId6"/>
    <sheet name="OpEx Fixed" sheetId="5" state="visible" r:id="rId7"/>
    <sheet name="OpEx Variable" sheetId="6" state="visible" r:id="rId8"/>
    <sheet name="P&amp;L Summary" sheetId="7" state="visible" r:id="rId9"/>
    <sheet name="Break-Even Analysis" sheetId="8" state="visible" r:id="rId10"/>
    <sheet name="Scenario Comparison" sheetId="9" state="visible" r:id="rId11"/>
    <sheet name="Assump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<sst xmlns="http://schemas.openxmlformats.org/spreadsheetml/2006/main" count="213" uniqueCount="174">
  <si>
    <t xml:space="preserve">AKBai Financial Model - Dashboard</t>
  </si>
  <si>
    <t xml:space="preserve">Key Metrics</t>
  </si>
  <si>
    <t xml:space="preserve">Metric</t>
  </si>
  <si>
    <t xml:space="preserve">Year 1</t>
  </si>
  <si>
    <t xml:space="preserve">Year 2</t>
  </si>
  <si>
    <t xml:space="preserve">Year 3</t>
  </si>
  <si>
    <t xml:space="preserve">Total Users</t>
  </si>
  <si>
    <t xml:space="preserve">Paying Users</t>
  </si>
  <si>
    <t xml:space="preserve">Total Revenue (₱)</t>
  </si>
  <si>
    <t xml:space="preserve">Net Profit (₱)</t>
  </si>
  <si>
    <t xml:space="preserve">Break-Even Month</t>
  </si>
  <si>
    <t xml:space="preserve">User Growth Model (36 Months)</t>
  </si>
  <si>
    <t xml:space="preserve">Assumptions</t>
  </si>
  <si>
    <t xml:space="preserve">Launch Total (M1)</t>
  </si>
  <si>
    <t xml:space="preserve">M1-6 New/Mo</t>
  </si>
  <si>
    <t xml:space="preserve">M7-12 New/Mo</t>
  </si>
  <si>
    <t xml:space="preserve">Y2 New/Mo</t>
  </si>
  <si>
    <t xml:space="preserve">Y3 New/Mo</t>
  </si>
  <si>
    <t xml:space="preserve">Free Churn</t>
  </si>
  <si>
    <t xml:space="preserve">Paid Churn</t>
  </si>
  <si>
    <t xml:space="preserve">Free % Y1</t>
  </si>
  <si>
    <t xml:space="preserve">Pro % Y1</t>
  </si>
  <si>
    <t xml:space="preserve">Free % Y2+</t>
  </si>
  <si>
    <t xml:space="preserve">Pro % Y2+</t>
  </si>
  <si>
    <t xml:space="preserve">Business % Y2+</t>
  </si>
  <si>
    <t xml:space="preserve">Month</t>
  </si>
  <si>
    <t xml:space="preserve">Year</t>
  </si>
  <si>
    <t xml:space="preserve">Total</t>
  </si>
  <si>
    <t xml:space="preserve">Free</t>
  </si>
  <si>
    <t xml:space="preserve">Pro</t>
  </si>
  <si>
    <t xml:space="preserve">Business</t>
  </si>
  <si>
    <t xml:space="preserve">Revenue Model (36 Months)</t>
  </si>
  <si>
    <t xml:space="preserve">Pricing</t>
  </si>
  <si>
    <t xml:space="preserve">Pro (₱/mo)</t>
  </si>
  <si>
    <t xml:space="preserve">Business (₱/mo)</t>
  </si>
  <si>
    <t xml:space="preserve">Fee Rate</t>
  </si>
  <si>
    <t xml:space="preserve">Fee Fixed (₱)</t>
  </si>
  <si>
    <t xml:space="preserve">Pro Rev</t>
  </si>
  <si>
    <t xml:space="preserve">Biz Rev</t>
  </si>
  <si>
    <t xml:space="preserve">Gross</t>
  </si>
  <si>
    <t xml:space="preserve">Fees</t>
  </si>
  <si>
    <t xml:space="preserve">Net</t>
  </si>
  <si>
    <t xml:space="preserve">Annual Summary</t>
  </si>
  <si>
    <t xml:space="preserve">Revenue</t>
  </si>
  <si>
    <t xml:space="preserve">CapEx - One-Time Costs</t>
  </si>
  <si>
    <t xml:space="preserve">Item</t>
  </si>
  <si>
    <t xml:space="preserve">Amount (₱)</t>
  </si>
  <si>
    <t xml:space="preserve">Legal &amp; Compliance</t>
  </si>
  <si>
    <t xml:space="preserve">BIR Registration</t>
  </si>
  <si>
    <t xml:space="preserve">SEC/DTI Registration</t>
  </si>
  <si>
    <t xml:space="preserve">Domain (3yr)</t>
  </si>
  <si>
    <t xml:space="preserve">Accounting Setup</t>
  </si>
  <si>
    <t xml:space="preserve">Bank Account</t>
  </si>
  <si>
    <t xml:space="preserve">WhatsApp API</t>
  </si>
  <si>
    <t xml:space="preserve">Contingency (10%)</t>
  </si>
  <si>
    <t xml:space="preserve">TOTAL</t>
  </si>
  <si>
    <t xml:space="preserve">OpEx - Fixed Monthly Costs</t>
  </si>
  <si>
    <t xml:space="preserve">USD/mo</t>
  </si>
  <si>
    <t xml:space="preserve">₱/mo</t>
  </si>
  <si>
    <t xml:space="preserve">Y1 Annual</t>
  </si>
  <si>
    <t xml:space="preserve">Y2 Annual</t>
  </si>
  <si>
    <t xml:space="preserve">Y3 Annual</t>
  </si>
  <si>
    <t xml:space="preserve">Supabase Pro</t>
  </si>
  <si>
    <t xml:space="preserve">Vercel Pro</t>
  </si>
  <si>
    <t xml:space="preserve">Domain &amp; SSL</t>
  </si>
  <si>
    <t xml:space="preserve">Sentry</t>
  </si>
  <si>
    <t xml:space="preserve">UptimeRobot</t>
  </si>
  <si>
    <t xml:space="preserve">Google Workspace</t>
  </si>
  <si>
    <t xml:space="preserve">PostHog</t>
  </si>
  <si>
    <t xml:space="preserve">Resend</t>
  </si>
  <si>
    <t xml:space="preserve">OpEx Variable - Claude API Costs</t>
  </si>
  <si>
    <t xml:space="preserve">API Assumptions</t>
  </si>
  <si>
    <t xml:space="preserve">Exchange Rate</t>
  </si>
  <si>
    <t xml:space="preserve">Sonnet Input ($/M)</t>
  </si>
  <si>
    <t xml:space="preserve">Sonnet Output ($/M)</t>
  </si>
  <si>
    <t xml:space="preserve">Haiku Input ($/M)</t>
  </si>
  <si>
    <t xml:space="preserve">Haiku Output ($/M)</t>
  </si>
  <si>
    <t xml:space="preserve">Vision ($/1k req)</t>
  </si>
  <si>
    <t xml:space="preserve">Free: Sonnet In</t>
  </si>
  <si>
    <t xml:space="preserve">Free: Sonnet Out</t>
  </si>
  <si>
    <t xml:space="preserve">Free: Haiku In</t>
  </si>
  <si>
    <t xml:space="preserve">Free: Haiku Out</t>
  </si>
  <si>
    <t xml:space="preserve">Free: Vision</t>
  </si>
  <si>
    <t xml:space="preserve">Pro: Sonnet In</t>
  </si>
  <si>
    <t xml:space="preserve">Pro: Sonnet Out</t>
  </si>
  <si>
    <t xml:space="preserve">Pro: Haiku In</t>
  </si>
  <si>
    <t xml:space="preserve">Pro: Haiku Out</t>
  </si>
  <si>
    <t xml:space="preserve">Pro: Vision</t>
  </si>
  <si>
    <t xml:space="preserve">Biz: Sonnet In</t>
  </si>
  <si>
    <t xml:space="preserve">Biz: Sonnet Out</t>
  </si>
  <si>
    <t xml:space="preserve">Biz: Haiku In</t>
  </si>
  <si>
    <t xml:space="preserve">Biz: Haiku Out</t>
  </si>
  <si>
    <t xml:space="preserve">Biz: Vision</t>
  </si>
  <si>
    <t xml:space="preserve">Biz</t>
  </si>
  <si>
    <t xml:space="preserve">Free Cost</t>
  </si>
  <si>
    <t xml:space="preserve">Pro Cost</t>
  </si>
  <si>
    <t xml:space="preserve">Biz Cost</t>
  </si>
  <si>
    <t xml:space="preserve">Total Cost</t>
  </si>
  <si>
    <t xml:space="preserve">Total API Cost</t>
  </si>
  <si>
    <t xml:space="preserve">P&amp;L Summary - 3 Year Projection</t>
  </si>
  <si>
    <t xml:space="preserve">REVENUE</t>
  </si>
  <si>
    <t xml:space="preserve">Gross Revenue</t>
  </si>
  <si>
    <t xml:space="preserve">Less: PayMongo Fees</t>
  </si>
  <si>
    <t xml:space="preserve">NET REVENUE</t>
  </si>
  <si>
    <t xml:space="preserve">COSTS</t>
  </si>
  <si>
    <t xml:space="preserve">Claude API Costs</t>
  </si>
  <si>
    <t xml:space="preserve">Fixed OpEx</t>
  </si>
  <si>
    <t xml:space="preserve">TOTAL COSTS</t>
  </si>
  <si>
    <t xml:space="preserve">GROSS PROFIT</t>
  </si>
  <si>
    <t xml:space="preserve">GROSS MARGIN %</t>
  </si>
  <si>
    <t xml:space="preserve">ONE-TIME COSTS</t>
  </si>
  <si>
    <t xml:space="preserve">CapEx</t>
  </si>
  <si>
    <t xml:space="preserve">NET PROFIT/(LOSS)</t>
  </si>
  <si>
    <t xml:space="preserve">Break-Even Analysis (36 Months)</t>
  </si>
  <si>
    <t xml:space="preserve">Cum Revenue</t>
  </si>
  <si>
    <t xml:space="preserve">Cum Costs</t>
  </si>
  <si>
    <t xml:space="preserve">Cum Net</t>
  </si>
  <si>
    <t xml:space="preserve">Break-Even?</t>
  </si>
  <si>
    <t xml:space="preserve">Scenario Comparison - Year 3</t>
  </si>
  <si>
    <t xml:space="preserve">Conservative (800)</t>
  </si>
  <si>
    <t xml:space="preserve">Moderate (2,000) BASE</t>
  </si>
  <si>
    <t xml:space="preserve">Aggressive (5,000)</t>
  </si>
  <si>
    <t xml:space="preserve">Total Users Y3</t>
  </si>
  <si>
    <t xml:space="preserve">Paying Users (38%)</t>
  </si>
  <si>
    <t xml:space="preserve">MRR Y3 (₱)</t>
  </si>
  <si>
    <t xml:space="preserve">ARR Y3 (₱)</t>
  </si>
  <si>
    <t xml:space="preserve">Net Profit Y3 (₱)</t>
  </si>
  <si>
    <t xml:space="preserve">All Model Assumptions</t>
  </si>
  <si>
    <t xml:space="preserve">Category</t>
  </si>
  <si>
    <t xml:space="preserve">Assumption</t>
  </si>
  <si>
    <t xml:space="preserve">Value</t>
  </si>
  <si>
    <t xml:space="preserve">EXCHANGE</t>
  </si>
  <si>
    <t xml:space="preserve">₱ per $1 USD</t>
  </si>
  <si>
    <t xml:space="preserve">57.20</t>
  </si>
  <si>
    <t xml:space="preserve">PRICING</t>
  </si>
  <si>
    <t xml:space="preserve">Pro Price (₱/mo)</t>
  </si>
  <si>
    <t xml:space="preserve">299</t>
  </si>
  <si>
    <t xml:space="preserve">Business Price (₱/mo)</t>
  </si>
  <si>
    <t xml:space="preserve">599</t>
  </si>
  <si>
    <t xml:space="preserve">PayMongo Fee</t>
  </si>
  <si>
    <t xml:space="preserve">3.5% + ₱15</t>
  </si>
  <si>
    <t xml:space="preserve">USER GROWTH</t>
  </si>
  <si>
    <t xml:space="preserve">Month 1 Launch</t>
  </si>
  <si>
    <t xml:space="preserve">10 users</t>
  </si>
  <si>
    <t xml:space="preserve">Months 1-6</t>
  </si>
  <si>
    <t xml:space="preserve">+8/month</t>
  </si>
  <si>
    <t xml:space="preserve">Months 7-12</t>
  </si>
  <si>
    <t xml:space="preserve">+12/month</t>
  </si>
  <si>
    <t xml:space="preserve">+25/month</t>
  </si>
  <si>
    <t xml:space="preserve">+110/month</t>
  </si>
  <si>
    <t xml:space="preserve">CHURN</t>
  </si>
  <si>
    <t xml:space="preserve">Free Users</t>
  </si>
  <si>
    <t xml:space="preserve">8%</t>
  </si>
  <si>
    <t xml:space="preserve">Paid Users</t>
  </si>
  <si>
    <t xml:space="preserve">5%</t>
  </si>
  <si>
    <t xml:space="preserve">PLAN MIX Y1</t>
  </si>
  <si>
    <t xml:space="preserve">Free %</t>
  </si>
  <si>
    <t xml:space="preserve">67%</t>
  </si>
  <si>
    <t xml:space="preserve">Pro %</t>
  </si>
  <si>
    <t xml:space="preserve">33%</t>
  </si>
  <si>
    <t xml:space="preserve">PLAN MIX Y2+</t>
  </si>
  <si>
    <t xml:space="preserve">62%</t>
  </si>
  <si>
    <t xml:space="preserve">Business %</t>
  </si>
  <si>
    <t xml:space="preserve">API PRICING</t>
  </si>
  <si>
    <t xml:space="preserve">Sonnet In: $/M tokens</t>
  </si>
  <si>
    <t xml:space="preserve">$3.00</t>
  </si>
  <si>
    <t xml:space="preserve">Sonnet Out: $/M tokens</t>
  </si>
  <si>
    <t xml:space="preserve">$15.00</t>
  </si>
  <si>
    <t xml:space="preserve">Haiku In: $/M tokens</t>
  </si>
  <si>
    <t xml:space="preserve">$0.80</t>
  </si>
  <si>
    <t xml:space="preserve">Haiku Out: $/M tokens</t>
  </si>
  <si>
    <t xml:space="preserve">$4.00</t>
  </si>
  <si>
    <t xml:space="preserve">Vision: $ per 1k req</t>
  </si>
  <si>
    <t xml:space="preserve">$1.50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</si>
</sst>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7101E"/>
        <bgColor rgb="FF000000"/>
      </patternFill>
    </fill>
    <fill>
      <patternFill patternType="solid">
        <fgColor rgb="FFE8F4F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7101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0" t="s">
        <v>6</v>
      </c>
      <c r="B5" s="4" t="n">
        <f aca="false">'User Growth'!C30</f>
        <v>122</v>
      </c>
      <c r="C5" s="4" t="n">
        <f aca="false">'User Growth'!C42</f>
        <v>422</v>
      </c>
      <c r="D5" s="4" t="n">
        <f aca="false">'User Growth'!C54</f>
        <v>1742</v>
      </c>
    </row>
    <row r="6" customFormat="false" ht="15" hidden="false" customHeight="false" outlineLevel="0" collapsed="false">
      <c r="A6" s="0" t="s">
        <v>7</v>
      </c>
      <c r="B6" s="4" t="n">
        <f aca="false">'User Growth'!C30</f>
        <v>122</v>
      </c>
      <c r="C6" s="4" t="n">
        <f aca="false">'User Growth'!C42</f>
        <v>422</v>
      </c>
      <c r="D6" s="4" t="n">
        <f aca="false">'User Growth'!C54</f>
        <v>1742</v>
      </c>
    </row>
    <row r="7" customFormat="false" ht="15" hidden="false" customHeight="false" outlineLevel="0" collapsed="false">
      <c r="A7" s="0" t="s">
        <v>8</v>
      </c>
      <c r="B7" s="4" t="n">
        <f aca="false">'User Growth'!C30</f>
        <v>122</v>
      </c>
      <c r="C7" s="4" t="n">
        <f aca="false">'User Growth'!C42</f>
        <v>422</v>
      </c>
      <c r="D7" s="4" t="n">
        <f aca="false">'User Growth'!C54</f>
        <v>1742</v>
      </c>
    </row>
    <row r="8" customFormat="false" ht="15" hidden="false" customHeight="false" outlineLevel="0" collapsed="false">
      <c r="A8" s="0" t="s">
        <v>9</v>
      </c>
      <c r="B8" s="4" t="n">
        <f aca="false">'User Growth'!C30</f>
        <v>122</v>
      </c>
      <c r="C8" s="4" t="n">
        <f aca="false">'User Growth'!C42</f>
        <v>422</v>
      </c>
      <c r="D8" s="4" t="n">
        <f aca="false">'User Growth'!C54</f>
        <v>1742</v>
      </c>
    </row>
    <row r="9" customFormat="false" ht="15" hidden="false" customHeight="false" outlineLevel="0" collapsed="false">
      <c r="A9" s="0" t="s">
        <v>10</v>
      </c>
      <c r="B9" s="4" t="n">
        <f aca="false">'User Growth'!C30</f>
        <v>122</v>
      </c>
      <c r="C9" s="4" t="n">
        <f aca="false">'User Growth'!C42</f>
        <v>422</v>
      </c>
      <c r="D9" s="4" t="n">
        <f aca="false">'User Growth'!C54</f>
        <v>1742</v>
      </c>
    </row>
  </sheetData>
  <mergeCells count="2">
    <mergeCell ref="A1:O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2"/>
  </cols>
  <sheetData>
    <row r="1" customFormat="false" ht="24.75" hidden="false" customHeight="true" outlineLevel="0" collapsed="false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true" outlineLevel="0" collapsed="false">
      <c r="A3" s="2" t="s">
        <v>12</v>
      </c>
      <c r="B3" s="2"/>
      <c r="C3" s="2"/>
    </row>
    <row r="4" customFormat="false" ht="15" hidden="false" customHeight="false" outlineLevel="0" collapsed="false">
      <c r="A4" s="0" t="s">
        <v>13</v>
      </c>
      <c r="B4" s="5" t="n">
        <v>10</v>
      </c>
    </row>
    <row r="5" customFormat="false" ht="15" hidden="false" customHeight="false" outlineLevel="0" collapsed="false">
      <c r="A5" s="0" t="s">
        <v>14</v>
      </c>
      <c r="B5" s="5" t="n">
        <v>8</v>
      </c>
    </row>
    <row r="6" customFormat="false" ht="15" hidden="false" customHeight="false" outlineLevel="0" collapsed="false">
      <c r="A6" s="0" t="s">
        <v>15</v>
      </c>
      <c r="B6" s="5" t="n">
        <v>12</v>
      </c>
    </row>
    <row r="7" customFormat="false" ht="15" hidden="false" customHeight="false" outlineLevel="0" collapsed="false">
      <c r="A7" s="0" t="s">
        <v>16</v>
      </c>
      <c r="B7" s="5" t="n">
        <v>25</v>
      </c>
    </row>
    <row r="8" customFormat="false" ht="15" hidden="false" customHeight="false" outlineLevel="0" collapsed="false">
      <c r="A8" s="0" t="s">
        <v>17</v>
      </c>
      <c r="B8" s="5" t="n">
        <v>110</v>
      </c>
    </row>
    <row r="9" customFormat="false" ht="15" hidden="false" customHeight="false" outlineLevel="0" collapsed="false">
      <c r="A9" s="0" t="s">
        <v>18</v>
      </c>
      <c r="B9" s="6" t="n">
        <v>0.08</v>
      </c>
    </row>
    <row r="10" customFormat="false" ht="15" hidden="false" customHeight="false" outlineLevel="0" collapsed="false">
      <c r="A10" s="0" t="s">
        <v>19</v>
      </c>
      <c r="B10" s="6" t="n">
        <v>0.05</v>
      </c>
    </row>
    <row r="11" customFormat="false" ht="15" hidden="false" customHeight="false" outlineLevel="0" collapsed="false">
      <c r="A11" s="0" t="s">
        <v>20</v>
      </c>
      <c r="B11" s="6" t="n">
        <v>0.67</v>
      </c>
    </row>
    <row r="12" customFormat="false" ht="15" hidden="false" customHeight="false" outlineLevel="0" collapsed="false">
      <c r="A12" s="0" t="s">
        <v>21</v>
      </c>
      <c r="B12" s="6" t="n">
        <v>0.33</v>
      </c>
    </row>
    <row r="13" customFormat="false" ht="15" hidden="false" customHeight="false" outlineLevel="0" collapsed="false">
      <c r="A13" s="0" t="s">
        <v>22</v>
      </c>
      <c r="B13" s="6" t="n">
        <v>0.62</v>
      </c>
    </row>
    <row r="14" customFormat="false" ht="15" hidden="false" customHeight="false" outlineLevel="0" collapsed="false">
      <c r="A14" s="0" t="s">
        <v>23</v>
      </c>
      <c r="B14" s="6" t="n">
        <v>0.33</v>
      </c>
    </row>
    <row r="15" customFormat="false" ht="15" hidden="false" customHeight="false" outlineLevel="0" collapsed="false">
      <c r="A15" s="0" t="s">
        <v>24</v>
      </c>
      <c r="B15" s="6" t="n">
        <v>0.05</v>
      </c>
    </row>
    <row r="18" customFormat="false" ht="15" hidden="false" customHeight="false" outlineLevel="0" collapsed="false">
      <c r="A18" s="3" t="s">
        <v>25</v>
      </c>
      <c r="B18" s="3" t="s">
        <v>26</v>
      </c>
      <c r="C18" s="3" t="s">
        <v>27</v>
      </c>
      <c r="D18" s="3" t="s">
        <v>28</v>
      </c>
      <c r="E18" s="3" t="s">
        <v>29</v>
      </c>
      <c r="F18" s="3" t="s">
        <v>30</v>
      </c>
    </row>
    <row r="19" customFormat="false" ht="15" hidden="false" customHeight="false" outlineLevel="0" collapsed="false">
      <c r="A19" s="0" t="n">
        <v>1</v>
      </c>
      <c r="B19" s="0" t="n">
        <f aca="false">INT((A19-1)/12)+1</f>
        <v>1</v>
      </c>
      <c r="C19" s="4" t="n">
        <v>10</v>
      </c>
      <c r="D19" s="4" t="n">
        <f aca="false">C19*$B$8</f>
        <v>1100</v>
      </c>
      <c r="E19" s="4" t="n">
        <f aca="false">C19*$B$9</f>
        <v>0.8</v>
      </c>
      <c r="F19" s="4" t="n">
        <v>0</v>
      </c>
    </row>
    <row r="20" customFormat="false" ht="15" hidden="false" customHeight="false" outlineLevel="0" collapsed="false">
      <c r="A20" s="0" t="n">
        <v>2</v>
      </c>
      <c r="B20" s="0" t="n">
        <f aca="false">INT((A20-1)/12)+1</f>
        <v>1</v>
      </c>
      <c r="C20" s="4" t="n">
        <f aca="false">C19+8</f>
        <v>18</v>
      </c>
      <c r="D20" s="4" t="n">
        <f aca="false">C20*$B$8</f>
        <v>1980</v>
      </c>
      <c r="E20" s="4" t="n">
        <f aca="false">C20*$B$9</f>
        <v>1.44</v>
      </c>
      <c r="F20" s="4" t="n">
        <v>0</v>
      </c>
    </row>
    <row r="21" customFormat="false" ht="15" hidden="false" customHeight="false" outlineLevel="0" collapsed="false">
      <c r="A21" s="0" t="n">
        <v>3</v>
      </c>
      <c r="B21" s="0" t="n">
        <f aca="false">INT((A21-1)/12)+1</f>
        <v>1</v>
      </c>
      <c r="C21" s="4" t="n">
        <f aca="false">C20+8</f>
        <v>26</v>
      </c>
      <c r="D21" s="4" t="n">
        <f aca="false">C21*$B$8</f>
        <v>2860</v>
      </c>
      <c r="E21" s="4" t="n">
        <f aca="false">C21*$B$9</f>
        <v>2.08</v>
      </c>
      <c r="F21" s="4" t="n">
        <v>0</v>
      </c>
    </row>
    <row r="22" customFormat="false" ht="15" hidden="false" customHeight="false" outlineLevel="0" collapsed="false">
      <c r="A22" s="0" t="n">
        <v>4</v>
      </c>
      <c r="B22" s="0" t="n">
        <f aca="false">INT((A22-1)/12)+1</f>
        <v>1</v>
      </c>
      <c r="C22" s="4" t="n">
        <f aca="false">C21+8</f>
        <v>34</v>
      </c>
      <c r="D22" s="4" t="n">
        <f aca="false">C22*$B$8</f>
        <v>3740</v>
      </c>
      <c r="E22" s="4" t="n">
        <f aca="false">C22*$B$9</f>
        <v>2.72</v>
      </c>
      <c r="F22" s="4" t="n">
        <v>0</v>
      </c>
    </row>
    <row r="23" customFormat="false" ht="15" hidden="false" customHeight="false" outlineLevel="0" collapsed="false">
      <c r="A23" s="0" t="n">
        <v>5</v>
      </c>
      <c r="B23" s="0" t="n">
        <f aca="false">INT((A23-1)/12)+1</f>
        <v>1</v>
      </c>
      <c r="C23" s="4" t="n">
        <f aca="false">C22+8</f>
        <v>42</v>
      </c>
      <c r="D23" s="4" t="n">
        <f aca="false">C23*$B$8</f>
        <v>4620</v>
      </c>
      <c r="E23" s="4" t="n">
        <f aca="false">C23*$B$9</f>
        <v>3.36</v>
      </c>
      <c r="F23" s="4" t="n">
        <v>0</v>
      </c>
    </row>
    <row r="24" customFormat="false" ht="15" hidden="false" customHeight="false" outlineLevel="0" collapsed="false">
      <c r="A24" s="0" t="n">
        <v>6</v>
      </c>
      <c r="B24" s="0" t="n">
        <f aca="false">INT((A24-1)/12)+1</f>
        <v>1</v>
      </c>
      <c r="C24" s="4" t="n">
        <f aca="false">C23+8</f>
        <v>50</v>
      </c>
      <c r="D24" s="4" t="n">
        <f aca="false">C24*$B$8</f>
        <v>5500</v>
      </c>
      <c r="E24" s="4" t="n">
        <f aca="false">C24*$B$9</f>
        <v>4</v>
      </c>
      <c r="F24" s="4" t="n">
        <v>0</v>
      </c>
    </row>
    <row r="25" customFormat="false" ht="15" hidden="false" customHeight="false" outlineLevel="0" collapsed="false">
      <c r="A25" s="0" t="n">
        <v>7</v>
      </c>
      <c r="B25" s="0" t="n">
        <f aca="false">INT((A25-1)/12)+1</f>
        <v>1</v>
      </c>
      <c r="C25" s="4" t="n">
        <f aca="false">C24+12</f>
        <v>62</v>
      </c>
      <c r="D25" s="4" t="n">
        <f aca="false">C25*$B$8</f>
        <v>6820</v>
      </c>
      <c r="E25" s="4" t="n">
        <f aca="false">C25*$B$9</f>
        <v>4.96</v>
      </c>
      <c r="F25" s="4" t="n">
        <v>0</v>
      </c>
    </row>
    <row r="26" customFormat="false" ht="15" hidden="false" customHeight="false" outlineLevel="0" collapsed="false">
      <c r="A26" s="0" t="n">
        <v>8</v>
      </c>
      <c r="B26" s="0" t="n">
        <f aca="false">INT((A26-1)/12)+1</f>
        <v>1</v>
      </c>
      <c r="C26" s="4" t="n">
        <f aca="false">C25+12</f>
        <v>74</v>
      </c>
      <c r="D26" s="4" t="n">
        <f aca="false">C26*$B$8</f>
        <v>8140</v>
      </c>
      <c r="E26" s="4" t="n">
        <f aca="false">C26*$B$9</f>
        <v>5.92</v>
      </c>
      <c r="F26" s="4" t="n">
        <v>0</v>
      </c>
    </row>
    <row r="27" customFormat="false" ht="15" hidden="false" customHeight="false" outlineLevel="0" collapsed="false">
      <c r="A27" s="0" t="n">
        <v>9</v>
      </c>
      <c r="B27" s="0" t="n">
        <f aca="false">INT((A27-1)/12)+1</f>
        <v>1</v>
      </c>
      <c r="C27" s="4" t="n">
        <f aca="false">C26+12</f>
        <v>86</v>
      </c>
      <c r="D27" s="4" t="n">
        <f aca="false">C27*$B$8</f>
        <v>9460</v>
      </c>
      <c r="E27" s="4" t="n">
        <f aca="false">C27*$B$9</f>
        <v>6.88</v>
      </c>
      <c r="F27" s="4" t="n">
        <v>0</v>
      </c>
    </row>
    <row r="28" customFormat="false" ht="15" hidden="false" customHeight="false" outlineLevel="0" collapsed="false">
      <c r="A28" s="0" t="n">
        <v>10</v>
      </c>
      <c r="B28" s="0" t="n">
        <f aca="false">INT((A28-1)/12)+1</f>
        <v>1</v>
      </c>
      <c r="C28" s="4" t="n">
        <f aca="false">C27+12</f>
        <v>98</v>
      </c>
      <c r="D28" s="4" t="n">
        <f aca="false">C28*$B$8</f>
        <v>10780</v>
      </c>
      <c r="E28" s="4" t="n">
        <f aca="false">C28*$B$9</f>
        <v>7.84</v>
      </c>
      <c r="F28" s="4" t="n">
        <v>0</v>
      </c>
    </row>
    <row r="29" customFormat="false" ht="15" hidden="false" customHeight="false" outlineLevel="0" collapsed="false">
      <c r="A29" s="0" t="n">
        <v>11</v>
      </c>
      <c r="B29" s="0" t="n">
        <f aca="false">INT((A29-1)/12)+1</f>
        <v>1</v>
      </c>
      <c r="C29" s="4" t="n">
        <f aca="false">C28+12</f>
        <v>110</v>
      </c>
      <c r="D29" s="4" t="n">
        <f aca="false">C29*$B$8</f>
        <v>12100</v>
      </c>
      <c r="E29" s="4" t="n">
        <f aca="false">C29*$B$9</f>
        <v>8.8</v>
      </c>
      <c r="F29" s="4" t="n">
        <v>0</v>
      </c>
    </row>
    <row r="30" customFormat="false" ht="15" hidden="false" customHeight="false" outlineLevel="0" collapsed="false">
      <c r="A30" s="0" t="n">
        <v>12</v>
      </c>
      <c r="B30" s="0" t="n">
        <f aca="false">INT((A30-1)/12)+1</f>
        <v>1</v>
      </c>
      <c r="C30" s="4" t="n">
        <f aca="false">C29+12</f>
        <v>122</v>
      </c>
      <c r="D30" s="4" t="n">
        <f aca="false">C30*$B$8</f>
        <v>13420</v>
      </c>
      <c r="E30" s="4" t="n">
        <f aca="false">C30*$B$9</f>
        <v>9.76</v>
      </c>
      <c r="F30" s="4" t="n">
        <v>0</v>
      </c>
    </row>
    <row r="31" customFormat="false" ht="15" hidden="false" customHeight="false" outlineLevel="0" collapsed="false">
      <c r="A31" s="0" t="n">
        <v>13</v>
      </c>
      <c r="B31" s="0" t="n">
        <f aca="false">INT((A31-1)/12)+1</f>
        <v>2</v>
      </c>
      <c r="C31" s="4" t="n">
        <f aca="false">C30+25</f>
        <v>147</v>
      </c>
      <c r="D31" s="4" t="n">
        <f aca="false">C31*$B$10</f>
        <v>7.35</v>
      </c>
      <c r="E31" s="4" t="n">
        <f aca="false">C31*$B$11</f>
        <v>98.49</v>
      </c>
      <c r="F31" s="4" t="n">
        <f aca="false">C31*$B$12</f>
        <v>48.51</v>
      </c>
    </row>
    <row r="32" customFormat="false" ht="15" hidden="false" customHeight="false" outlineLevel="0" collapsed="false">
      <c r="A32" s="0" t="n">
        <v>14</v>
      </c>
      <c r="B32" s="0" t="n">
        <f aca="false">INT((A32-1)/12)+1</f>
        <v>2</v>
      </c>
      <c r="C32" s="4" t="n">
        <f aca="false">C31+25</f>
        <v>172</v>
      </c>
      <c r="D32" s="4" t="n">
        <f aca="false">C32*$B$10</f>
        <v>8.6</v>
      </c>
      <c r="E32" s="4" t="n">
        <f aca="false">C32*$B$11</f>
        <v>115.24</v>
      </c>
      <c r="F32" s="4" t="n">
        <f aca="false">C32*$B$12</f>
        <v>56.76</v>
      </c>
    </row>
    <row r="33" customFormat="false" ht="15" hidden="false" customHeight="false" outlineLevel="0" collapsed="false">
      <c r="A33" s="0" t="n">
        <v>15</v>
      </c>
      <c r="B33" s="0" t="n">
        <f aca="false">INT((A33-1)/12)+1</f>
        <v>2</v>
      </c>
      <c r="C33" s="4" t="n">
        <f aca="false">C32+25</f>
        <v>197</v>
      </c>
      <c r="D33" s="4" t="n">
        <f aca="false">C33*$B$10</f>
        <v>9.85</v>
      </c>
      <c r="E33" s="4" t="n">
        <f aca="false">C33*$B$11</f>
        <v>131.99</v>
      </c>
      <c r="F33" s="4" t="n">
        <f aca="false">C33*$B$12</f>
        <v>65.01</v>
      </c>
    </row>
    <row r="34" customFormat="false" ht="15" hidden="false" customHeight="false" outlineLevel="0" collapsed="false">
      <c r="A34" s="0" t="n">
        <v>16</v>
      </c>
      <c r="B34" s="0" t="n">
        <f aca="false">INT((A34-1)/12)+1</f>
        <v>2</v>
      </c>
      <c r="C34" s="4" t="n">
        <f aca="false">C33+25</f>
        <v>222</v>
      </c>
      <c r="D34" s="4" t="n">
        <f aca="false">C34*$B$10</f>
        <v>11.1</v>
      </c>
      <c r="E34" s="4" t="n">
        <f aca="false">C34*$B$11</f>
        <v>148.74</v>
      </c>
      <c r="F34" s="4" t="n">
        <f aca="false">C34*$B$12</f>
        <v>73.26</v>
      </c>
    </row>
    <row r="35" customFormat="false" ht="15" hidden="false" customHeight="false" outlineLevel="0" collapsed="false">
      <c r="A35" s="0" t="n">
        <v>17</v>
      </c>
      <c r="B35" s="0" t="n">
        <f aca="false">INT((A35-1)/12)+1</f>
        <v>2</v>
      </c>
      <c r="C35" s="4" t="n">
        <f aca="false">C34+25</f>
        <v>247</v>
      </c>
      <c r="D35" s="4" t="n">
        <f aca="false">C35*$B$10</f>
        <v>12.35</v>
      </c>
      <c r="E35" s="4" t="n">
        <f aca="false">C35*$B$11</f>
        <v>165.49</v>
      </c>
      <c r="F35" s="4" t="n">
        <f aca="false">C35*$B$12</f>
        <v>81.51</v>
      </c>
    </row>
    <row r="36" customFormat="false" ht="15" hidden="false" customHeight="false" outlineLevel="0" collapsed="false">
      <c r="A36" s="0" t="n">
        <v>18</v>
      </c>
      <c r="B36" s="0" t="n">
        <f aca="false">INT((A36-1)/12)+1</f>
        <v>2</v>
      </c>
      <c r="C36" s="4" t="n">
        <f aca="false">C35+25</f>
        <v>272</v>
      </c>
      <c r="D36" s="4" t="n">
        <f aca="false">C36*$B$10</f>
        <v>13.6</v>
      </c>
      <c r="E36" s="4" t="n">
        <f aca="false">C36*$B$11</f>
        <v>182.24</v>
      </c>
      <c r="F36" s="4" t="n">
        <f aca="false">C36*$B$12</f>
        <v>89.76</v>
      </c>
    </row>
    <row r="37" customFormat="false" ht="15" hidden="false" customHeight="false" outlineLevel="0" collapsed="false">
      <c r="A37" s="0" t="n">
        <v>19</v>
      </c>
      <c r="B37" s="0" t="n">
        <f aca="false">INT((A37-1)/12)+1</f>
        <v>2</v>
      </c>
      <c r="C37" s="4" t="n">
        <f aca="false">C36+25</f>
        <v>297</v>
      </c>
      <c r="D37" s="4" t="n">
        <f aca="false">C37*$B$10</f>
        <v>14.85</v>
      </c>
      <c r="E37" s="4" t="n">
        <f aca="false">C37*$B$11</f>
        <v>198.99</v>
      </c>
      <c r="F37" s="4" t="n">
        <f aca="false">C37*$B$12</f>
        <v>98.01</v>
      </c>
    </row>
    <row r="38" customFormat="false" ht="15" hidden="false" customHeight="false" outlineLevel="0" collapsed="false">
      <c r="A38" s="0" t="n">
        <v>20</v>
      </c>
      <c r="B38" s="0" t="n">
        <f aca="false">INT((A38-1)/12)+1</f>
        <v>2</v>
      </c>
      <c r="C38" s="4" t="n">
        <f aca="false">C37+25</f>
        <v>322</v>
      </c>
      <c r="D38" s="4" t="n">
        <f aca="false">C38*$B$10</f>
        <v>16.1</v>
      </c>
      <c r="E38" s="4" t="n">
        <f aca="false">C38*$B$11</f>
        <v>215.74</v>
      </c>
      <c r="F38" s="4" t="n">
        <f aca="false">C38*$B$12</f>
        <v>106.26</v>
      </c>
    </row>
    <row r="39" customFormat="false" ht="15" hidden="false" customHeight="false" outlineLevel="0" collapsed="false">
      <c r="A39" s="0" t="n">
        <v>21</v>
      </c>
      <c r="B39" s="0" t="n">
        <f aca="false">INT((A39-1)/12)+1</f>
        <v>2</v>
      </c>
      <c r="C39" s="4" t="n">
        <f aca="false">C38+25</f>
        <v>347</v>
      </c>
      <c r="D39" s="4" t="n">
        <f aca="false">C39*$B$10</f>
        <v>17.35</v>
      </c>
      <c r="E39" s="4" t="n">
        <f aca="false">C39*$B$11</f>
        <v>232.49</v>
      </c>
      <c r="F39" s="4" t="n">
        <f aca="false">C39*$B$12</f>
        <v>114.51</v>
      </c>
    </row>
    <row r="40" customFormat="false" ht="15" hidden="false" customHeight="false" outlineLevel="0" collapsed="false">
      <c r="A40" s="0" t="n">
        <v>22</v>
      </c>
      <c r="B40" s="0" t="n">
        <f aca="false">INT((A40-1)/12)+1</f>
        <v>2</v>
      </c>
      <c r="C40" s="4" t="n">
        <f aca="false">C39+25</f>
        <v>372</v>
      </c>
      <c r="D40" s="4" t="n">
        <f aca="false">C40*$B$10</f>
        <v>18.6</v>
      </c>
      <c r="E40" s="4" t="n">
        <f aca="false">C40*$B$11</f>
        <v>249.24</v>
      </c>
      <c r="F40" s="4" t="n">
        <f aca="false">C40*$B$12</f>
        <v>122.76</v>
      </c>
    </row>
    <row r="41" customFormat="false" ht="15" hidden="false" customHeight="false" outlineLevel="0" collapsed="false">
      <c r="A41" s="0" t="n">
        <v>23</v>
      </c>
      <c r="B41" s="0" t="n">
        <f aca="false">INT((A41-1)/12)+1</f>
        <v>2</v>
      </c>
      <c r="C41" s="4" t="n">
        <f aca="false">C40+25</f>
        <v>397</v>
      </c>
      <c r="D41" s="4" t="n">
        <f aca="false">C41*$B$10</f>
        <v>19.85</v>
      </c>
      <c r="E41" s="4" t="n">
        <f aca="false">C41*$B$11</f>
        <v>265.99</v>
      </c>
      <c r="F41" s="4" t="n">
        <f aca="false">C41*$B$12</f>
        <v>131.01</v>
      </c>
    </row>
    <row r="42" customFormat="false" ht="15" hidden="false" customHeight="false" outlineLevel="0" collapsed="false">
      <c r="A42" s="0" t="n">
        <v>24</v>
      </c>
      <c r="B42" s="0" t="n">
        <f aca="false">INT((A42-1)/12)+1</f>
        <v>2</v>
      </c>
      <c r="C42" s="4" t="n">
        <f aca="false">C41+25</f>
        <v>422</v>
      </c>
      <c r="D42" s="4" t="n">
        <f aca="false">C42*$B$10</f>
        <v>21.1</v>
      </c>
      <c r="E42" s="4" t="n">
        <f aca="false">C42*$B$11</f>
        <v>282.74</v>
      </c>
      <c r="F42" s="4" t="n">
        <f aca="false">C42*$B$12</f>
        <v>139.26</v>
      </c>
    </row>
    <row r="43" customFormat="false" ht="15" hidden="false" customHeight="false" outlineLevel="0" collapsed="false">
      <c r="A43" s="0" t="n">
        <v>25</v>
      </c>
      <c r="B43" s="0" t="n">
        <f aca="false">INT((A43-1)/12)+1</f>
        <v>3</v>
      </c>
      <c r="C43" s="4" t="n">
        <f aca="false">C42+110</f>
        <v>532</v>
      </c>
      <c r="D43" s="4" t="n">
        <f aca="false">C43*$B$10</f>
        <v>26.6</v>
      </c>
      <c r="E43" s="4" t="n">
        <f aca="false">C43*$B$11</f>
        <v>356.44</v>
      </c>
      <c r="F43" s="4" t="n">
        <f aca="false">C43*$B$12</f>
        <v>175.56</v>
      </c>
    </row>
    <row r="44" customFormat="false" ht="15" hidden="false" customHeight="false" outlineLevel="0" collapsed="false">
      <c r="A44" s="0" t="n">
        <v>26</v>
      </c>
      <c r="B44" s="0" t="n">
        <f aca="false">INT((A44-1)/12)+1</f>
        <v>3</v>
      </c>
      <c r="C44" s="4" t="n">
        <f aca="false">C43+110</f>
        <v>642</v>
      </c>
      <c r="D44" s="4" t="n">
        <f aca="false">C44*$B$10</f>
        <v>32.1</v>
      </c>
      <c r="E44" s="4" t="n">
        <f aca="false">C44*$B$11</f>
        <v>430.14</v>
      </c>
      <c r="F44" s="4" t="n">
        <f aca="false">C44*$B$12</f>
        <v>211.86</v>
      </c>
    </row>
    <row r="45" customFormat="false" ht="15" hidden="false" customHeight="false" outlineLevel="0" collapsed="false">
      <c r="A45" s="0" t="n">
        <v>27</v>
      </c>
      <c r="B45" s="0" t="n">
        <f aca="false">INT((A45-1)/12)+1</f>
        <v>3</v>
      </c>
      <c r="C45" s="4" t="n">
        <f aca="false">C44+110</f>
        <v>752</v>
      </c>
      <c r="D45" s="4" t="n">
        <f aca="false">C45*$B$10</f>
        <v>37.6</v>
      </c>
      <c r="E45" s="4" t="n">
        <f aca="false">C45*$B$11</f>
        <v>503.84</v>
      </c>
      <c r="F45" s="4" t="n">
        <f aca="false">C45*$B$12</f>
        <v>248.16</v>
      </c>
    </row>
    <row r="46" customFormat="false" ht="15" hidden="false" customHeight="false" outlineLevel="0" collapsed="false">
      <c r="A46" s="0" t="n">
        <v>28</v>
      </c>
      <c r="B46" s="0" t="n">
        <f aca="false">INT((A46-1)/12)+1</f>
        <v>3</v>
      </c>
      <c r="C46" s="4" t="n">
        <f aca="false">C45+110</f>
        <v>862</v>
      </c>
      <c r="D46" s="4" t="n">
        <f aca="false">C46*$B$10</f>
        <v>43.1</v>
      </c>
      <c r="E46" s="4" t="n">
        <f aca="false">C46*$B$11</f>
        <v>577.54</v>
      </c>
      <c r="F46" s="4" t="n">
        <f aca="false">C46*$B$12</f>
        <v>284.46</v>
      </c>
    </row>
    <row r="47" customFormat="false" ht="15" hidden="false" customHeight="false" outlineLevel="0" collapsed="false">
      <c r="A47" s="0" t="n">
        <v>29</v>
      </c>
      <c r="B47" s="0" t="n">
        <f aca="false">INT((A47-1)/12)+1</f>
        <v>3</v>
      </c>
      <c r="C47" s="4" t="n">
        <f aca="false">C46+110</f>
        <v>972</v>
      </c>
      <c r="D47" s="4" t="n">
        <f aca="false">C47*$B$10</f>
        <v>48.6</v>
      </c>
      <c r="E47" s="4" t="n">
        <f aca="false">C47*$B$11</f>
        <v>651.24</v>
      </c>
      <c r="F47" s="4" t="n">
        <f aca="false">C47*$B$12</f>
        <v>320.76</v>
      </c>
    </row>
    <row r="48" customFormat="false" ht="15" hidden="false" customHeight="false" outlineLevel="0" collapsed="false">
      <c r="A48" s="0" t="n">
        <v>30</v>
      </c>
      <c r="B48" s="0" t="n">
        <f aca="false">INT((A48-1)/12)+1</f>
        <v>3</v>
      </c>
      <c r="C48" s="4" t="n">
        <f aca="false">C47+110</f>
        <v>1082</v>
      </c>
      <c r="D48" s="4" t="n">
        <f aca="false">C48*$B$10</f>
        <v>54.1</v>
      </c>
      <c r="E48" s="4" t="n">
        <f aca="false">C48*$B$11</f>
        <v>724.94</v>
      </c>
      <c r="F48" s="4" t="n">
        <f aca="false">C48*$B$12</f>
        <v>357.06</v>
      </c>
    </row>
    <row r="49" customFormat="false" ht="15" hidden="false" customHeight="false" outlineLevel="0" collapsed="false">
      <c r="A49" s="0" t="n">
        <v>31</v>
      </c>
      <c r="B49" s="0" t="n">
        <f aca="false">INT((A49-1)/12)+1</f>
        <v>3</v>
      </c>
      <c r="C49" s="4" t="n">
        <f aca="false">C48+110</f>
        <v>1192</v>
      </c>
      <c r="D49" s="4" t="n">
        <f aca="false">C49*$B$10</f>
        <v>59.6</v>
      </c>
      <c r="E49" s="4" t="n">
        <f aca="false">C49*$B$11</f>
        <v>798.64</v>
      </c>
      <c r="F49" s="4" t="n">
        <f aca="false">C49*$B$12</f>
        <v>393.36</v>
      </c>
    </row>
    <row r="50" customFormat="false" ht="15" hidden="false" customHeight="false" outlineLevel="0" collapsed="false">
      <c r="A50" s="0" t="n">
        <v>32</v>
      </c>
      <c r="B50" s="0" t="n">
        <f aca="false">INT((A50-1)/12)+1</f>
        <v>3</v>
      </c>
      <c r="C50" s="4" t="n">
        <f aca="false">C49+110</f>
        <v>1302</v>
      </c>
      <c r="D50" s="4" t="n">
        <f aca="false">C50*$B$10</f>
        <v>65.1</v>
      </c>
      <c r="E50" s="4" t="n">
        <f aca="false">C50*$B$11</f>
        <v>872.34</v>
      </c>
      <c r="F50" s="4" t="n">
        <f aca="false">C50*$B$12</f>
        <v>429.66</v>
      </c>
    </row>
    <row r="51" customFormat="false" ht="15" hidden="false" customHeight="false" outlineLevel="0" collapsed="false">
      <c r="A51" s="0" t="n">
        <v>33</v>
      </c>
      <c r="B51" s="0" t="n">
        <f aca="false">INT((A51-1)/12)+1</f>
        <v>3</v>
      </c>
      <c r="C51" s="4" t="n">
        <f aca="false">C50+110</f>
        <v>1412</v>
      </c>
      <c r="D51" s="4" t="n">
        <f aca="false">C51*$B$10</f>
        <v>70.6</v>
      </c>
      <c r="E51" s="4" t="n">
        <f aca="false">C51*$B$11</f>
        <v>946.04</v>
      </c>
      <c r="F51" s="4" t="n">
        <f aca="false">C51*$B$12</f>
        <v>465.96</v>
      </c>
    </row>
    <row r="52" customFormat="false" ht="15" hidden="false" customHeight="false" outlineLevel="0" collapsed="false">
      <c r="A52" s="0" t="n">
        <v>34</v>
      </c>
      <c r="B52" s="0" t="n">
        <f aca="false">INT((A52-1)/12)+1</f>
        <v>3</v>
      </c>
      <c r="C52" s="4" t="n">
        <f aca="false">C51+110</f>
        <v>1522</v>
      </c>
      <c r="D52" s="4" t="n">
        <f aca="false">C52*$B$10</f>
        <v>76.1</v>
      </c>
      <c r="E52" s="4" t="n">
        <f aca="false">C52*$B$11</f>
        <v>1019.74</v>
      </c>
      <c r="F52" s="4" t="n">
        <f aca="false">C52*$B$12</f>
        <v>502.26</v>
      </c>
    </row>
    <row r="53" customFormat="false" ht="15" hidden="false" customHeight="false" outlineLevel="0" collapsed="false">
      <c r="A53" s="0" t="n">
        <v>35</v>
      </c>
      <c r="B53" s="0" t="n">
        <f aca="false">INT((A53-1)/12)+1</f>
        <v>3</v>
      </c>
      <c r="C53" s="4" t="n">
        <f aca="false">C52+110</f>
        <v>1632</v>
      </c>
      <c r="D53" s="4" t="n">
        <f aca="false">C53*$B$10</f>
        <v>81.6</v>
      </c>
      <c r="E53" s="4" t="n">
        <f aca="false">C53*$B$11</f>
        <v>1093.44</v>
      </c>
      <c r="F53" s="4" t="n">
        <f aca="false">C53*$B$12</f>
        <v>538.56</v>
      </c>
    </row>
    <row r="54" customFormat="false" ht="15" hidden="false" customHeight="false" outlineLevel="0" collapsed="false">
      <c r="A54" s="0" t="n">
        <v>36</v>
      </c>
      <c r="B54" s="0" t="n">
        <f aca="false">INT((A54-1)/12)+1</f>
        <v>3</v>
      </c>
      <c r="C54" s="4" t="n">
        <f aca="false">C53+110</f>
        <v>1742</v>
      </c>
      <c r="D54" s="4" t="n">
        <f aca="false">C54*$B$10</f>
        <v>87.1</v>
      </c>
      <c r="E54" s="4" t="n">
        <f aca="false">C54*$B$11</f>
        <v>1167.14</v>
      </c>
      <c r="F54" s="4" t="n">
        <f aca="false">C54*$B$12</f>
        <v>574.86</v>
      </c>
    </row>
  </sheetData>
  <mergeCells count="2">
    <mergeCell ref="A1:O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2"/>
  </cols>
  <sheetData>
    <row r="1" customFormat="false" ht="24.7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true" outlineLevel="0" collapsed="false">
      <c r="A3" s="2" t="s">
        <v>32</v>
      </c>
      <c r="B3" s="2"/>
    </row>
    <row r="4" customFormat="false" ht="15" hidden="false" customHeight="false" outlineLevel="0" collapsed="false">
      <c r="A4" s="0" t="s">
        <v>33</v>
      </c>
      <c r="B4" s="0" t="n">
        <v>299</v>
      </c>
    </row>
    <row r="5" customFormat="false" ht="15" hidden="false" customHeight="false" outlineLevel="0" collapsed="false">
      <c r="A5" s="0" t="s">
        <v>34</v>
      </c>
      <c r="B5" s="0" t="n">
        <v>599</v>
      </c>
    </row>
    <row r="6" customFormat="false" ht="15" hidden="false" customHeight="false" outlineLevel="0" collapsed="false">
      <c r="A6" s="0" t="s">
        <v>35</v>
      </c>
      <c r="B6" s="7" t="n">
        <v>0.035</v>
      </c>
    </row>
    <row r="7" customFormat="false" ht="15" hidden="false" customHeight="false" outlineLevel="0" collapsed="false">
      <c r="A7" s="0" t="s">
        <v>36</v>
      </c>
      <c r="B7" s="0" t="n">
        <v>15</v>
      </c>
    </row>
    <row r="11" customFormat="false" ht="15" hidden="false" customHeight="false" outlineLevel="0" collapsed="false">
      <c r="A11" s="3" t="s">
        <v>25</v>
      </c>
      <c r="B11" s="3" t="s">
        <v>29</v>
      </c>
      <c r="C11" s="3" t="s">
        <v>30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41</v>
      </c>
    </row>
    <row r="12" customFormat="false" ht="15" hidden="false" customHeight="false" outlineLevel="0" collapsed="false">
      <c r="A12" s="0" t="n">
        <v>1</v>
      </c>
      <c r="B12" s="4" t="n">
        <f aca="false">'User Growth'!E19</f>
        <v>0.8</v>
      </c>
      <c r="C12" s="4" t="n">
        <f aca="false">'User Growth'!F19</f>
        <v>0</v>
      </c>
      <c r="D12" s="4" t="n">
        <f aca="false">B12*$B$4</f>
        <v>239.2</v>
      </c>
      <c r="E12" s="4" t="n">
        <f aca="false">C12*$B$5</f>
        <v>0</v>
      </c>
      <c r="F12" s="4" t="n">
        <f aca="false">D12+E12</f>
        <v>239.2</v>
      </c>
      <c r="G12" s="4" t="n">
        <f aca="false">IF(F12&gt;0,F12*$B$6+$B$7,0)</f>
        <v>23.372</v>
      </c>
      <c r="H12" s="4" t="n">
        <f aca="false">F12-G12</f>
        <v>215.828</v>
      </c>
    </row>
    <row r="13" customFormat="false" ht="15" hidden="false" customHeight="false" outlineLevel="0" collapsed="false">
      <c r="A13" s="0" t="n">
        <v>2</v>
      </c>
      <c r="B13" s="4" t="n">
        <f aca="false">'User Growth'!E20</f>
        <v>1.44</v>
      </c>
      <c r="C13" s="4" t="n">
        <f aca="false">'User Growth'!F20</f>
        <v>0</v>
      </c>
      <c r="D13" s="4" t="n">
        <f aca="false">B13*$B$4</f>
        <v>430.56</v>
      </c>
      <c r="E13" s="4" t="n">
        <f aca="false">C13*$B$5</f>
        <v>0</v>
      </c>
      <c r="F13" s="4" t="n">
        <f aca="false">D13+E13</f>
        <v>430.56</v>
      </c>
      <c r="G13" s="4" t="n">
        <f aca="false">IF(F13&gt;0,F13*$B$6+$B$7,0)</f>
        <v>30.0696</v>
      </c>
      <c r="H13" s="4" t="n">
        <f aca="false">F13-G13</f>
        <v>400.4904</v>
      </c>
    </row>
    <row r="14" customFormat="false" ht="15" hidden="false" customHeight="false" outlineLevel="0" collapsed="false">
      <c r="A14" s="0" t="n">
        <v>3</v>
      </c>
      <c r="B14" s="4" t="n">
        <f aca="false">'User Growth'!E21</f>
        <v>2.08</v>
      </c>
      <c r="C14" s="4" t="n">
        <f aca="false">'User Growth'!F21</f>
        <v>0</v>
      </c>
      <c r="D14" s="4" t="n">
        <f aca="false">B14*$B$4</f>
        <v>621.92</v>
      </c>
      <c r="E14" s="4" t="n">
        <f aca="false">C14*$B$5</f>
        <v>0</v>
      </c>
      <c r="F14" s="4" t="n">
        <f aca="false">D14+E14</f>
        <v>621.92</v>
      </c>
      <c r="G14" s="4" t="n">
        <f aca="false">IF(F14&gt;0,F14*$B$6+$B$7,0)</f>
        <v>36.7672</v>
      </c>
      <c r="H14" s="4" t="n">
        <f aca="false">F14-G14</f>
        <v>585.1528</v>
      </c>
    </row>
    <row r="15" customFormat="false" ht="15" hidden="false" customHeight="false" outlineLevel="0" collapsed="false">
      <c r="A15" s="0" t="n">
        <v>4</v>
      </c>
      <c r="B15" s="4" t="n">
        <f aca="false">'User Growth'!E22</f>
        <v>2.72</v>
      </c>
      <c r="C15" s="4" t="n">
        <f aca="false">'User Growth'!F22</f>
        <v>0</v>
      </c>
      <c r="D15" s="4" t="n">
        <f aca="false">B15*$B$4</f>
        <v>813.28</v>
      </c>
      <c r="E15" s="4" t="n">
        <f aca="false">C15*$B$5</f>
        <v>0</v>
      </c>
      <c r="F15" s="4" t="n">
        <f aca="false">D15+E15</f>
        <v>813.28</v>
      </c>
      <c r="G15" s="4" t="n">
        <f aca="false">IF(F15&gt;0,F15*$B$6+$B$7,0)</f>
        <v>43.4648</v>
      </c>
      <c r="H15" s="4" t="n">
        <f aca="false">F15-G15</f>
        <v>769.8152</v>
      </c>
    </row>
    <row r="16" customFormat="false" ht="15" hidden="false" customHeight="false" outlineLevel="0" collapsed="false">
      <c r="A16" s="0" t="n">
        <v>5</v>
      </c>
      <c r="B16" s="4" t="n">
        <f aca="false">'User Growth'!E23</f>
        <v>3.36</v>
      </c>
      <c r="C16" s="4" t="n">
        <f aca="false">'User Growth'!F23</f>
        <v>0</v>
      </c>
      <c r="D16" s="4" t="n">
        <f aca="false">B16*$B$4</f>
        <v>1004.64</v>
      </c>
      <c r="E16" s="4" t="n">
        <f aca="false">C16*$B$5</f>
        <v>0</v>
      </c>
      <c r="F16" s="4" t="n">
        <f aca="false">D16+E16</f>
        <v>1004.64</v>
      </c>
      <c r="G16" s="4" t="n">
        <f aca="false">IF(F16&gt;0,F16*$B$6+$B$7,0)</f>
        <v>50.1624</v>
      </c>
      <c r="H16" s="4" t="n">
        <f aca="false">F16-G16</f>
        <v>954.4776</v>
      </c>
    </row>
    <row r="17" customFormat="false" ht="15" hidden="false" customHeight="false" outlineLevel="0" collapsed="false">
      <c r="A17" s="0" t="n">
        <v>6</v>
      </c>
      <c r="B17" s="4" t="n">
        <f aca="false">'User Growth'!E24</f>
        <v>4</v>
      </c>
      <c r="C17" s="4" t="n">
        <f aca="false">'User Growth'!F24</f>
        <v>0</v>
      </c>
      <c r="D17" s="4" t="n">
        <f aca="false">B17*$B$4</f>
        <v>1196</v>
      </c>
      <c r="E17" s="4" t="n">
        <f aca="false">C17*$B$5</f>
        <v>0</v>
      </c>
      <c r="F17" s="4" t="n">
        <f aca="false">D17+E17</f>
        <v>1196</v>
      </c>
      <c r="G17" s="4" t="n">
        <f aca="false">IF(F17&gt;0,F17*$B$6+$B$7,0)</f>
        <v>56.86</v>
      </c>
      <c r="H17" s="4" t="n">
        <f aca="false">F17-G17</f>
        <v>1139.14</v>
      </c>
    </row>
    <row r="18" customFormat="false" ht="15" hidden="false" customHeight="false" outlineLevel="0" collapsed="false">
      <c r="A18" s="0" t="n">
        <v>7</v>
      </c>
      <c r="B18" s="4" t="n">
        <f aca="false">'User Growth'!E25</f>
        <v>4.96</v>
      </c>
      <c r="C18" s="4" t="n">
        <f aca="false">'User Growth'!F25</f>
        <v>0</v>
      </c>
      <c r="D18" s="4" t="n">
        <f aca="false">B18*$B$4</f>
        <v>1483.04</v>
      </c>
      <c r="E18" s="4" t="n">
        <f aca="false">C18*$B$5</f>
        <v>0</v>
      </c>
      <c r="F18" s="4" t="n">
        <f aca="false">D18+E18</f>
        <v>1483.04</v>
      </c>
      <c r="G18" s="4" t="n">
        <f aca="false">IF(F18&gt;0,F18*$B$6+$B$7,0)</f>
        <v>66.9064</v>
      </c>
      <c r="H18" s="4" t="n">
        <f aca="false">F18-G18</f>
        <v>1416.1336</v>
      </c>
    </row>
    <row r="19" customFormat="false" ht="15" hidden="false" customHeight="false" outlineLevel="0" collapsed="false">
      <c r="A19" s="0" t="n">
        <v>8</v>
      </c>
      <c r="B19" s="4" t="n">
        <f aca="false">'User Growth'!E26</f>
        <v>5.92</v>
      </c>
      <c r="C19" s="4" t="n">
        <f aca="false">'User Growth'!F26</f>
        <v>0</v>
      </c>
      <c r="D19" s="4" t="n">
        <f aca="false">B19*$B$4</f>
        <v>1770.08</v>
      </c>
      <c r="E19" s="4" t="n">
        <f aca="false">C19*$B$5</f>
        <v>0</v>
      </c>
      <c r="F19" s="4" t="n">
        <f aca="false">D19+E19</f>
        <v>1770.08</v>
      </c>
      <c r="G19" s="4" t="n">
        <f aca="false">IF(F19&gt;0,F19*$B$6+$B$7,0)</f>
        <v>76.9528</v>
      </c>
      <c r="H19" s="4" t="n">
        <f aca="false">F19-G19</f>
        <v>1693.1272</v>
      </c>
    </row>
    <row r="20" customFormat="false" ht="15" hidden="false" customHeight="false" outlineLevel="0" collapsed="false">
      <c r="A20" s="0" t="n">
        <v>9</v>
      </c>
      <c r="B20" s="4" t="n">
        <f aca="false">'User Growth'!E27</f>
        <v>6.88</v>
      </c>
      <c r="C20" s="4" t="n">
        <f aca="false">'User Growth'!F27</f>
        <v>0</v>
      </c>
      <c r="D20" s="4" t="n">
        <f aca="false">B20*$B$4</f>
        <v>2057.12</v>
      </c>
      <c r="E20" s="4" t="n">
        <f aca="false">C20*$B$5</f>
        <v>0</v>
      </c>
      <c r="F20" s="4" t="n">
        <f aca="false">D20+E20</f>
        <v>2057.12</v>
      </c>
      <c r="G20" s="4" t="n">
        <f aca="false">IF(F20&gt;0,F20*$B$6+$B$7,0)</f>
        <v>86.9992</v>
      </c>
      <c r="H20" s="4" t="n">
        <f aca="false">F20-G20</f>
        <v>1970.1208</v>
      </c>
    </row>
    <row r="21" customFormat="false" ht="15" hidden="false" customHeight="false" outlineLevel="0" collapsed="false">
      <c r="A21" s="0" t="n">
        <v>10</v>
      </c>
      <c r="B21" s="4" t="n">
        <f aca="false">'User Growth'!E28</f>
        <v>7.84</v>
      </c>
      <c r="C21" s="4" t="n">
        <f aca="false">'User Growth'!F28</f>
        <v>0</v>
      </c>
      <c r="D21" s="4" t="n">
        <f aca="false">B21*$B$4</f>
        <v>2344.16</v>
      </c>
      <c r="E21" s="4" t="n">
        <f aca="false">C21*$B$5</f>
        <v>0</v>
      </c>
      <c r="F21" s="4" t="n">
        <f aca="false">D21+E21</f>
        <v>2344.16</v>
      </c>
      <c r="G21" s="4" t="n">
        <f aca="false">IF(F21&gt;0,F21*$B$6+$B$7,0)</f>
        <v>97.0456</v>
      </c>
      <c r="H21" s="4" t="n">
        <f aca="false">F21-G21</f>
        <v>2247.1144</v>
      </c>
    </row>
    <row r="22" customFormat="false" ht="15" hidden="false" customHeight="false" outlineLevel="0" collapsed="false">
      <c r="A22" s="0" t="n">
        <v>11</v>
      </c>
      <c r="B22" s="4" t="n">
        <f aca="false">'User Growth'!E29</f>
        <v>8.8</v>
      </c>
      <c r="C22" s="4" t="n">
        <f aca="false">'User Growth'!F29</f>
        <v>0</v>
      </c>
      <c r="D22" s="4" t="n">
        <f aca="false">B22*$B$4</f>
        <v>2631.2</v>
      </c>
      <c r="E22" s="4" t="n">
        <f aca="false">C22*$B$5</f>
        <v>0</v>
      </c>
      <c r="F22" s="4" t="n">
        <f aca="false">D22+E22</f>
        <v>2631.2</v>
      </c>
      <c r="G22" s="4" t="n">
        <f aca="false">IF(F22&gt;0,F22*$B$6+$B$7,0)</f>
        <v>107.092</v>
      </c>
      <c r="H22" s="4" t="n">
        <f aca="false">F22-G22</f>
        <v>2524.108</v>
      </c>
    </row>
    <row r="23" customFormat="false" ht="15" hidden="false" customHeight="false" outlineLevel="0" collapsed="false">
      <c r="A23" s="0" t="n">
        <v>12</v>
      </c>
      <c r="B23" s="4" t="n">
        <f aca="false">'User Growth'!E30</f>
        <v>9.76</v>
      </c>
      <c r="C23" s="4" t="n">
        <f aca="false">'User Growth'!F30</f>
        <v>0</v>
      </c>
      <c r="D23" s="4" t="n">
        <f aca="false">B23*$B$4</f>
        <v>2918.24</v>
      </c>
      <c r="E23" s="4" t="n">
        <f aca="false">C23*$B$5</f>
        <v>0</v>
      </c>
      <c r="F23" s="4" t="n">
        <f aca="false">D23+E23</f>
        <v>2918.24</v>
      </c>
      <c r="G23" s="4" t="n">
        <f aca="false">IF(F23&gt;0,F23*$B$6+$B$7,0)</f>
        <v>117.1384</v>
      </c>
      <c r="H23" s="4" t="n">
        <f aca="false">F23-G23</f>
        <v>2801.1016</v>
      </c>
    </row>
    <row r="24" customFormat="false" ht="15" hidden="false" customHeight="false" outlineLevel="0" collapsed="false">
      <c r="A24" s="0" t="n">
        <v>13</v>
      </c>
      <c r="B24" s="4" t="n">
        <f aca="false">'User Growth'!E31</f>
        <v>98.49</v>
      </c>
      <c r="C24" s="4" t="n">
        <f aca="false">'User Growth'!F31</f>
        <v>48.51</v>
      </c>
      <c r="D24" s="4" t="n">
        <f aca="false">B24*$B$4</f>
        <v>29448.51</v>
      </c>
      <c r="E24" s="4" t="n">
        <f aca="false">C24*$B$5</f>
        <v>29057.49</v>
      </c>
      <c r="F24" s="4" t="n">
        <f aca="false">D24+E24</f>
        <v>58506</v>
      </c>
      <c r="G24" s="4" t="n">
        <f aca="false">IF(F24&gt;0,F24*$B$6+$B$7,0)</f>
        <v>2062.71</v>
      </c>
      <c r="H24" s="4" t="n">
        <f aca="false">F24-G24</f>
        <v>56443.29</v>
      </c>
    </row>
    <row r="25" customFormat="false" ht="15" hidden="false" customHeight="false" outlineLevel="0" collapsed="false">
      <c r="A25" s="0" t="n">
        <v>14</v>
      </c>
      <c r="B25" s="4" t="n">
        <f aca="false">'User Growth'!E32</f>
        <v>115.24</v>
      </c>
      <c r="C25" s="4" t="n">
        <f aca="false">'User Growth'!F32</f>
        <v>56.76</v>
      </c>
      <c r="D25" s="4" t="n">
        <f aca="false">B25*$B$4</f>
        <v>34456.76</v>
      </c>
      <c r="E25" s="4" t="n">
        <f aca="false">C25*$B$5</f>
        <v>33999.24</v>
      </c>
      <c r="F25" s="4" t="n">
        <f aca="false">D25+E25</f>
        <v>68456</v>
      </c>
      <c r="G25" s="4" t="n">
        <f aca="false">IF(F25&gt;0,F25*$B$6+$B$7,0)</f>
        <v>2410.96</v>
      </c>
      <c r="H25" s="4" t="n">
        <f aca="false">F25-G25</f>
        <v>66045.04</v>
      </c>
    </row>
    <row r="26" customFormat="false" ht="15" hidden="false" customHeight="false" outlineLevel="0" collapsed="false">
      <c r="A26" s="0" t="n">
        <v>15</v>
      </c>
      <c r="B26" s="4" t="n">
        <f aca="false">'User Growth'!E33</f>
        <v>131.99</v>
      </c>
      <c r="C26" s="4" t="n">
        <f aca="false">'User Growth'!F33</f>
        <v>65.01</v>
      </c>
      <c r="D26" s="4" t="n">
        <f aca="false">B26*$B$4</f>
        <v>39465.01</v>
      </c>
      <c r="E26" s="4" t="n">
        <f aca="false">C26*$B$5</f>
        <v>38940.99</v>
      </c>
      <c r="F26" s="4" t="n">
        <f aca="false">D26+E26</f>
        <v>78406</v>
      </c>
      <c r="G26" s="4" t="n">
        <f aca="false">IF(F26&gt;0,F26*$B$6+$B$7,0)</f>
        <v>2759.21</v>
      </c>
      <c r="H26" s="4" t="n">
        <f aca="false">F26-G26</f>
        <v>75646.79</v>
      </c>
    </row>
    <row r="27" customFormat="false" ht="15" hidden="false" customHeight="false" outlineLevel="0" collapsed="false">
      <c r="A27" s="0" t="n">
        <v>16</v>
      </c>
      <c r="B27" s="4" t="n">
        <f aca="false">'User Growth'!E34</f>
        <v>148.74</v>
      </c>
      <c r="C27" s="4" t="n">
        <f aca="false">'User Growth'!F34</f>
        <v>73.26</v>
      </c>
      <c r="D27" s="4" t="n">
        <f aca="false">B27*$B$4</f>
        <v>44473.26</v>
      </c>
      <c r="E27" s="4" t="n">
        <f aca="false">C27*$B$5</f>
        <v>43882.74</v>
      </c>
      <c r="F27" s="4" t="n">
        <f aca="false">D27+E27</f>
        <v>88356</v>
      </c>
      <c r="G27" s="4" t="n">
        <f aca="false">IF(F27&gt;0,F27*$B$6+$B$7,0)</f>
        <v>3107.46</v>
      </c>
      <c r="H27" s="4" t="n">
        <f aca="false">F27-G27</f>
        <v>85248.54</v>
      </c>
    </row>
    <row r="28" customFormat="false" ht="15" hidden="false" customHeight="false" outlineLevel="0" collapsed="false">
      <c r="A28" s="0" t="n">
        <v>17</v>
      </c>
      <c r="B28" s="4" t="n">
        <f aca="false">'User Growth'!E35</f>
        <v>165.49</v>
      </c>
      <c r="C28" s="4" t="n">
        <f aca="false">'User Growth'!F35</f>
        <v>81.51</v>
      </c>
      <c r="D28" s="4" t="n">
        <f aca="false">B28*$B$4</f>
        <v>49481.51</v>
      </c>
      <c r="E28" s="4" t="n">
        <f aca="false">C28*$B$5</f>
        <v>48824.49</v>
      </c>
      <c r="F28" s="4" t="n">
        <f aca="false">D28+E28</f>
        <v>98306</v>
      </c>
      <c r="G28" s="4" t="n">
        <f aca="false">IF(F28&gt;0,F28*$B$6+$B$7,0)</f>
        <v>3455.71</v>
      </c>
      <c r="H28" s="4" t="n">
        <f aca="false">F28-G28</f>
        <v>94850.29</v>
      </c>
    </row>
    <row r="29" customFormat="false" ht="15" hidden="false" customHeight="false" outlineLevel="0" collapsed="false">
      <c r="A29" s="0" t="n">
        <v>18</v>
      </c>
      <c r="B29" s="4" t="n">
        <f aca="false">'User Growth'!E36</f>
        <v>182.24</v>
      </c>
      <c r="C29" s="4" t="n">
        <f aca="false">'User Growth'!F36</f>
        <v>89.76</v>
      </c>
      <c r="D29" s="4" t="n">
        <f aca="false">B29*$B$4</f>
        <v>54489.76</v>
      </c>
      <c r="E29" s="4" t="n">
        <f aca="false">C29*$B$5</f>
        <v>53766.24</v>
      </c>
      <c r="F29" s="4" t="n">
        <f aca="false">D29+E29</f>
        <v>108256</v>
      </c>
      <c r="G29" s="4" t="n">
        <f aca="false">IF(F29&gt;0,F29*$B$6+$B$7,0)</f>
        <v>3803.96</v>
      </c>
      <c r="H29" s="4" t="n">
        <f aca="false">F29-G29</f>
        <v>104452.04</v>
      </c>
    </row>
    <row r="30" customFormat="false" ht="15" hidden="false" customHeight="false" outlineLevel="0" collapsed="false">
      <c r="A30" s="0" t="n">
        <v>19</v>
      </c>
      <c r="B30" s="4" t="n">
        <f aca="false">'User Growth'!E37</f>
        <v>198.99</v>
      </c>
      <c r="C30" s="4" t="n">
        <f aca="false">'User Growth'!F37</f>
        <v>98.01</v>
      </c>
      <c r="D30" s="4" t="n">
        <f aca="false">B30*$B$4</f>
        <v>59498.01</v>
      </c>
      <c r="E30" s="4" t="n">
        <f aca="false">C30*$B$5</f>
        <v>58707.99</v>
      </c>
      <c r="F30" s="4" t="n">
        <f aca="false">D30+E30</f>
        <v>118206</v>
      </c>
      <c r="G30" s="4" t="n">
        <f aca="false">IF(F30&gt;0,F30*$B$6+$B$7,0)</f>
        <v>4152.21</v>
      </c>
      <c r="H30" s="4" t="n">
        <f aca="false">F30-G30</f>
        <v>114053.79</v>
      </c>
    </row>
    <row r="31" customFormat="false" ht="15" hidden="false" customHeight="false" outlineLevel="0" collapsed="false">
      <c r="A31" s="0" t="n">
        <v>20</v>
      </c>
      <c r="B31" s="4" t="n">
        <f aca="false">'User Growth'!E38</f>
        <v>215.74</v>
      </c>
      <c r="C31" s="4" t="n">
        <f aca="false">'User Growth'!F38</f>
        <v>106.26</v>
      </c>
      <c r="D31" s="4" t="n">
        <f aca="false">B31*$B$4</f>
        <v>64506.26</v>
      </c>
      <c r="E31" s="4" t="n">
        <f aca="false">C31*$B$5</f>
        <v>63649.74</v>
      </c>
      <c r="F31" s="4" t="n">
        <f aca="false">D31+E31</f>
        <v>128156</v>
      </c>
      <c r="G31" s="4" t="n">
        <f aca="false">IF(F31&gt;0,F31*$B$6+$B$7,0)</f>
        <v>4500.46</v>
      </c>
      <c r="H31" s="4" t="n">
        <f aca="false">F31-G31</f>
        <v>123655.54</v>
      </c>
    </row>
    <row r="32" customFormat="false" ht="15" hidden="false" customHeight="false" outlineLevel="0" collapsed="false">
      <c r="A32" s="0" t="n">
        <v>21</v>
      </c>
      <c r="B32" s="4" t="n">
        <f aca="false">'User Growth'!E39</f>
        <v>232.49</v>
      </c>
      <c r="C32" s="4" t="n">
        <f aca="false">'User Growth'!F39</f>
        <v>114.51</v>
      </c>
      <c r="D32" s="4" t="n">
        <f aca="false">B32*$B$4</f>
        <v>69514.51</v>
      </c>
      <c r="E32" s="4" t="n">
        <f aca="false">C32*$B$5</f>
        <v>68591.49</v>
      </c>
      <c r="F32" s="4" t="n">
        <f aca="false">D32+E32</f>
        <v>138106</v>
      </c>
      <c r="G32" s="4" t="n">
        <f aca="false">IF(F32&gt;0,F32*$B$6+$B$7,0)</f>
        <v>4848.71</v>
      </c>
      <c r="H32" s="4" t="n">
        <f aca="false">F32-G32</f>
        <v>133257.29</v>
      </c>
    </row>
    <row r="33" customFormat="false" ht="15" hidden="false" customHeight="false" outlineLevel="0" collapsed="false">
      <c r="A33" s="0" t="n">
        <v>22</v>
      </c>
      <c r="B33" s="4" t="n">
        <f aca="false">'User Growth'!E40</f>
        <v>249.24</v>
      </c>
      <c r="C33" s="4" t="n">
        <f aca="false">'User Growth'!F40</f>
        <v>122.76</v>
      </c>
      <c r="D33" s="4" t="n">
        <f aca="false">B33*$B$4</f>
        <v>74522.76</v>
      </c>
      <c r="E33" s="4" t="n">
        <f aca="false">C33*$B$5</f>
        <v>73533.24</v>
      </c>
      <c r="F33" s="4" t="n">
        <f aca="false">D33+E33</f>
        <v>148056</v>
      </c>
      <c r="G33" s="4" t="n">
        <f aca="false">IF(F33&gt;0,F33*$B$6+$B$7,0)</f>
        <v>5196.96</v>
      </c>
      <c r="H33" s="4" t="n">
        <f aca="false">F33-G33</f>
        <v>142859.04</v>
      </c>
    </row>
    <row r="34" customFormat="false" ht="15" hidden="false" customHeight="false" outlineLevel="0" collapsed="false">
      <c r="A34" s="0" t="n">
        <v>23</v>
      </c>
      <c r="B34" s="4" t="n">
        <f aca="false">'User Growth'!E41</f>
        <v>265.99</v>
      </c>
      <c r="C34" s="4" t="n">
        <f aca="false">'User Growth'!F41</f>
        <v>131.01</v>
      </c>
      <c r="D34" s="4" t="n">
        <f aca="false">B34*$B$4</f>
        <v>79531.01</v>
      </c>
      <c r="E34" s="4" t="n">
        <f aca="false">C34*$B$5</f>
        <v>78474.99</v>
      </c>
      <c r="F34" s="4" t="n">
        <f aca="false">D34+E34</f>
        <v>158006</v>
      </c>
      <c r="G34" s="4" t="n">
        <f aca="false">IF(F34&gt;0,F34*$B$6+$B$7,0)</f>
        <v>5545.21</v>
      </c>
      <c r="H34" s="4" t="n">
        <f aca="false">F34-G34</f>
        <v>152460.79</v>
      </c>
    </row>
    <row r="35" customFormat="false" ht="15" hidden="false" customHeight="false" outlineLevel="0" collapsed="false">
      <c r="A35" s="0" t="n">
        <v>24</v>
      </c>
      <c r="B35" s="4" t="n">
        <f aca="false">'User Growth'!E42</f>
        <v>282.74</v>
      </c>
      <c r="C35" s="4" t="n">
        <f aca="false">'User Growth'!F42</f>
        <v>139.26</v>
      </c>
      <c r="D35" s="4" t="n">
        <f aca="false">B35*$B$4</f>
        <v>84539.26</v>
      </c>
      <c r="E35" s="4" t="n">
        <f aca="false">C35*$B$5</f>
        <v>83416.74</v>
      </c>
      <c r="F35" s="4" t="n">
        <f aca="false">D35+E35</f>
        <v>167956</v>
      </c>
      <c r="G35" s="4" t="n">
        <f aca="false">IF(F35&gt;0,F35*$B$6+$B$7,0)</f>
        <v>5893.46</v>
      </c>
      <c r="H35" s="4" t="n">
        <f aca="false">F35-G35</f>
        <v>162062.54</v>
      </c>
    </row>
    <row r="36" customFormat="false" ht="15" hidden="false" customHeight="false" outlineLevel="0" collapsed="false">
      <c r="A36" s="0" t="n">
        <v>25</v>
      </c>
      <c r="B36" s="4" t="n">
        <f aca="false">'User Growth'!E43</f>
        <v>356.44</v>
      </c>
      <c r="C36" s="4" t="n">
        <f aca="false">'User Growth'!F43</f>
        <v>175.56</v>
      </c>
      <c r="D36" s="4" t="n">
        <f aca="false">B36*$B$4</f>
        <v>106575.56</v>
      </c>
      <c r="E36" s="4" t="n">
        <f aca="false">C36*$B$5</f>
        <v>105160.44</v>
      </c>
      <c r="F36" s="4" t="n">
        <f aca="false">D36+E36</f>
        <v>211736</v>
      </c>
      <c r="G36" s="4" t="n">
        <f aca="false">IF(F36&gt;0,F36*$B$6+$B$7,0)</f>
        <v>7425.76</v>
      </c>
      <c r="H36" s="4" t="n">
        <f aca="false">F36-G36</f>
        <v>204310.24</v>
      </c>
    </row>
    <row r="37" customFormat="false" ht="15" hidden="false" customHeight="false" outlineLevel="0" collapsed="false">
      <c r="A37" s="0" t="n">
        <v>26</v>
      </c>
      <c r="B37" s="4" t="n">
        <f aca="false">'User Growth'!E44</f>
        <v>430.14</v>
      </c>
      <c r="C37" s="4" t="n">
        <f aca="false">'User Growth'!F44</f>
        <v>211.86</v>
      </c>
      <c r="D37" s="4" t="n">
        <f aca="false">B37*$B$4</f>
        <v>128611.86</v>
      </c>
      <c r="E37" s="4" t="n">
        <f aca="false">C37*$B$5</f>
        <v>126904.14</v>
      </c>
      <c r="F37" s="4" t="n">
        <f aca="false">D37+E37</f>
        <v>255516</v>
      </c>
      <c r="G37" s="4" t="n">
        <f aca="false">IF(F37&gt;0,F37*$B$6+$B$7,0)</f>
        <v>8958.06</v>
      </c>
      <c r="H37" s="4" t="n">
        <f aca="false">F37-G37</f>
        <v>246557.94</v>
      </c>
    </row>
    <row r="38" customFormat="false" ht="15" hidden="false" customHeight="false" outlineLevel="0" collapsed="false">
      <c r="A38" s="0" t="n">
        <v>27</v>
      </c>
      <c r="B38" s="4" t="n">
        <f aca="false">'User Growth'!E45</f>
        <v>503.84</v>
      </c>
      <c r="C38" s="4" t="n">
        <f aca="false">'User Growth'!F45</f>
        <v>248.16</v>
      </c>
      <c r="D38" s="4" t="n">
        <f aca="false">B38*$B$4</f>
        <v>150648.16</v>
      </c>
      <c r="E38" s="4" t="n">
        <f aca="false">C38*$B$5</f>
        <v>148647.84</v>
      </c>
      <c r="F38" s="4" t="n">
        <f aca="false">D38+E38</f>
        <v>299296</v>
      </c>
      <c r="G38" s="4" t="n">
        <f aca="false">IF(F38&gt;0,F38*$B$6+$B$7,0)</f>
        <v>10490.36</v>
      </c>
      <c r="H38" s="4" t="n">
        <f aca="false">F38-G38</f>
        <v>288805.64</v>
      </c>
    </row>
    <row r="39" customFormat="false" ht="15" hidden="false" customHeight="false" outlineLevel="0" collapsed="false">
      <c r="A39" s="0" t="n">
        <v>28</v>
      </c>
      <c r="B39" s="4" t="n">
        <f aca="false">'User Growth'!E46</f>
        <v>577.54</v>
      </c>
      <c r="C39" s="4" t="n">
        <f aca="false">'User Growth'!F46</f>
        <v>284.46</v>
      </c>
      <c r="D39" s="4" t="n">
        <f aca="false">B39*$B$4</f>
        <v>172684.46</v>
      </c>
      <c r="E39" s="4" t="n">
        <f aca="false">C39*$B$5</f>
        <v>170391.54</v>
      </c>
      <c r="F39" s="4" t="n">
        <f aca="false">D39+E39</f>
        <v>343076</v>
      </c>
      <c r="G39" s="4" t="n">
        <f aca="false">IF(F39&gt;0,F39*$B$6+$B$7,0)</f>
        <v>12022.66</v>
      </c>
      <c r="H39" s="4" t="n">
        <f aca="false">F39-G39</f>
        <v>331053.34</v>
      </c>
    </row>
    <row r="40" customFormat="false" ht="15" hidden="false" customHeight="false" outlineLevel="0" collapsed="false">
      <c r="A40" s="0" t="n">
        <v>29</v>
      </c>
      <c r="B40" s="4" t="n">
        <f aca="false">'User Growth'!E47</f>
        <v>651.24</v>
      </c>
      <c r="C40" s="4" t="n">
        <f aca="false">'User Growth'!F47</f>
        <v>320.76</v>
      </c>
      <c r="D40" s="4" t="n">
        <f aca="false">B40*$B$4</f>
        <v>194720.76</v>
      </c>
      <c r="E40" s="4" t="n">
        <f aca="false">C40*$B$5</f>
        <v>192135.24</v>
      </c>
      <c r="F40" s="4" t="n">
        <f aca="false">D40+E40</f>
        <v>386856</v>
      </c>
      <c r="G40" s="4" t="n">
        <f aca="false">IF(F40&gt;0,F40*$B$6+$B$7,0)</f>
        <v>13554.96</v>
      </c>
      <c r="H40" s="4" t="n">
        <f aca="false">F40-G40</f>
        <v>373301.04</v>
      </c>
    </row>
    <row r="41" customFormat="false" ht="15" hidden="false" customHeight="false" outlineLevel="0" collapsed="false">
      <c r="A41" s="0" t="n">
        <v>30</v>
      </c>
      <c r="B41" s="4" t="n">
        <f aca="false">'User Growth'!E48</f>
        <v>724.94</v>
      </c>
      <c r="C41" s="4" t="n">
        <f aca="false">'User Growth'!F48</f>
        <v>357.06</v>
      </c>
      <c r="D41" s="4" t="n">
        <f aca="false">B41*$B$4</f>
        <v>216757.06</v>
      </c>
      <c r="E41" s="4" t="n">
        <f aca="false">C41*$B$5</f>
        <v>213878.94</v>
      </c>
      <c r="F41" s="4" t="n">
        <f aca="false">D41+E41</f>
        <v>430636</v>
      </c>
      <c r="G41" s="4" t="n">
        <f aca="false">IF(F41&gt;0,F41*$B$6+$B$7,0)</f>
        <v>15087.26</v>
      </c>
      <c r="H41" s="4" t="n">
        <f aca="false">F41-G41</f>
        <v>415548.74</v>
      </c>
    </row>
    <row r="42" customFormat="false" ht="15" hidden="false" customHeight="false" outlineLevel="0" collapsed="false">
      <c r="A42" s="0" t="n">
        <v>31</v>
      </c>
      <c r="B42" s="4" t="n">
        <f aca="false">'User Growth'!E49</f>
        <v>798.64</v>
      </c>
      <c r="C42" s="4" t="n">
        <f aca="false">'User Growth'!F49</f>
        <v>393.36</v>
      </c>
      <c r="D42" s="4" t="n">
        <f aca="false">B42*$B$4</f>
        <v>238793.36</v>
      </c>
      <c r="E42" s="4" t="n">
        <f aca="false">C42*$B$5</f>
        <v>235622.64</v>
      </c>
      <c r="F42" s="4" t="n">
        <f aca="false">D42+E42</f>
        <v>474416</v>
      </c>
      <c r="G42" s="4" t="n">
        <f aca="false">IF(F42&gt;0,F42*$B$6+$B$7,0)</f>
        <v>16619.56</v>
      </c>
      <c r="H42" s="4" t="n">
        <f aca="false">F42-G42</f>
        <v>457796.44</v>
      </c>
    </row>
    <row r="43" customFormat="false" ht="15" hidden="false" customHeight="false" outlineLevel="0" collapsed="false">
      <c r="A43" s="0" t="n">
        <v>32</v>
      </c>
      <c r="B43" s="4" t="n">
        <f aca="false">'User Growth'!E50</f>
        <v>872.34</v>
      </c>
      <c r="C43" s="4" t="n">
        <f aca="false">'User Growth'!F50</f>
        <v>429.66</v>
      </c>
      <c r="D43" s="4" t="n">
        <f aca="false">B43*$B$4</f>
        <v>260829.66</v>
      </c>
      <c r="E43" s="4" t="n">
        <f aca="false">C43*$B$5</f>
        <v>257366.34</v>
      </c>
      <c r="F43" s="4" t="n">
        <f aca="false">D43+E43</f>
        <v>518196</v>
      </c>
      <c r="G43" s="4" t="n">
        <f aca="false">IF(F43&gt;0,F43*$B$6+$B$7,0)</f>
        <v>18151.86</v>
      </c>
      <c r="H43" s="4" t="n">
        <f aca="false">F43-G43</f>
        <v>500044.14</v>
      </c>
    </row>
    <row r="44" customFormat="false" ht="15" hidden="false" customHeight="false" outlineLevel="0" collapsed="false">
      <c r="A44" s="0" t="n">
        <v>33</v>
      </c>
      <c r="B44" s="4" t="n">
        <f aca="false">'User Growth'!E51</f>
        <v>946.04</v>
      </c>
      <c r="C44" s="4" t="n">
        <f aca="false">'User Growth'!F51</f>
        <v>465.96</v>
      </c>
      <c r="D44" s="4" t="n">
        <f aca="false">B44*$B$4</f>
        <v>282865.96</v>
      </c>
      <c r="E44" s="4" t="n">
        <f aca="false">C44*$B$5</f>
        <v>279110.04</v>
      </c>
      <c r="F44" s="4" t="n">
        <f aca="false">D44+E44</f>
        <v>561976</v>
      </c>
      <c r="G44" s="4" t="n">
        <f aca="false">IF(F44&gt;0,F44*$B$6+$B$7,0)</f>
        <v>19684.16</v>
      </c>
      <c r="H44" s="4" t="n">
        <f aca="false">F44-G44</f>
        <v>542291.84</v>
      </c>
    </row>
    <row r="45" customFormat="false" ht="15" hidden="false" customHeight="false" outlineLevel="0" collapsed="false">
      <c r="A45" s="0" t="n">
        <v>34</v>
      </c>
      <c r="B45" s="4" t="n">
        <f aca="false">'User Growth'!E52</f>
        <v>1019.74</v>
      </c>
      <c r="C45" s="4" t="n">
        <f aca="false">'User Growth'!F52</f>
        <v>502.26</v>
      </c>
      <c r="D45" s="4" t="n">
        <f aca="false">B45*$B$4</f>
        <v>304902.26</v>
      </c>
      <c r="E45" s="4" t="n">
        <f aca="false">C45*$B$5</f>
        <v>300853.74</v>
      </c>
      <c r="F45" s="4" t="n">
        <f aca="false">D45+E45</f>
        <v>605756</v>
      </c>
      <c r="G45" s="4" t="n">
        <f aca="false">IF(F45&gt;0,F45*$B$6+$B$7,0)</f>
        <v>21216.46</v>
      </c>
      <c r="H45" s="4" t="n">
        <f aca="false">F45-G45</f>
        <v>584539.54</v>
      </c>
    </row>
    <row r="46" customFormat="false" ht="15" hidden="false" customHeight="false" outlineLevel="0" collapsed="false">
      <c r="A46" s="0" t="n">
        <v>35</v>
      </c>
      <c r="B46" s="4" t="n">
        <f aca="false">'User Growth'!E53</f>
        <v>1093.44</v>
      </c>
      <c r="C46" s="4" t="n">
        <f aca="false">'User Growth'!F53</f>
        <v>538.56</v>
      </c>
      <c r="D46" s="4" t="n">
        <f aca="false">B46*$B$4</f>
        <v>326938.56</v>
      </c>
      <c r="E46" s="4" t="n">
        <f aca="false">C46*$B$5</f>
        <v>322597.44</v>
      </c>
      <c r="F46" s="4" t="n">
        <f aca="false">D46+E46</f>
        <v>649536</v>
      </c>
      <c r="G46" s="4" t="n">
        <f aca="false">IF(F46&gt;0,F46*$B$6+$B$7,0)</f>
        <v>22748.76</v>
      </c>
      <c r="H46" s="4" t="n">
        <f aca="false">F46-G46</f>
        <v>626787.24</v>
      </c>
    </row>
    <row r="47" customFormat="false" ht="15" hidden="false" customHeight="false" outlineLevel="0" collapsed="false">
      <c r="A47" s="0" t="n">
        <v>36</v>
      </c>
      <c r="B47" s="4" t="n">
        <f aca="false">'User Growth'!E54</f>
        <v>1167.14</v>
      </c>
      <c r="C47" s="4" t="n">
        <f aca="false">'User Growth'!F54</f>
        <v>574.86</v>
      </c>
      <c r="D47" s="4" t="n">
        <f aca="false">B47*$B$4</f>
        <v>348974.86</v>
      </c>
      <c r="E47" s="4" t="n">
        <f aca="false">C47*$B$5</f>
        <v>344341.14</v>
      </c>
      <c r="F47" s="4" t="n">
        <f aca="false">D47+E47</f>
        <v>693316</v>
      </c>
      <c r="G47" s="4" t="n">
        <f aca="false">IF(F47&gt;0,F47*$B$6+$B$7,0)</f>
        <v>24281.06</v>
      </c>
      <c r="H47" s="4" t="n">
        <f aca="false">F47-G47</f>
        <v>669034.94</v>
      </c>
    </row>
    <row r="49" customFormat="false" ht="15" hidden="false" customHeight="true" outlineLevel="0" collapsed="false">
      <c r="A49" s="2" t="s">
        <v>42</v>
      </c>
      <c r="B49" s="2"/>
      <c r="C49" s="2"/>
      <c r="D49" s="2"/>
    </row>
    <row r="50" customFormat="false" ht="15" hidden="false" customHeight="false" outlineLevel="0" collapsed="false">
      <c r="A50" s="3" t="s">
        <v>26</v>
      </c>
      <c r="B50" s="3" t="s">
        <v>43</v>
      </c>
      <c r="C50" s="3" t="s">
        <v>40</v>
      </c>
      <c r="D50" s="3" t="s">
        <v>41</v>
      </c>
    </row>
    <row r="51" customFormat="false" ht="15" hidden="false" customHeight="false" outlineLevel="0" collapsed="false">
      <c r="A51" s="0" t="n">
        <v>1</v>
      </c>
      <c r="B51" s="4" t="n">
        <f aca="false">SUM(F12:F23)</f>
        <v>17509.44</v>
      </c>
      <c r="C51" s="4" t="n">
        <f aca="false">SUM(G12:G23)</f>
        <v>792.8304</v>
      </c>
      <c r="D51" s="4" t="n">
        <f aca="false">SUM(H12:H23)</f>
        <v>16716.6096</v>
      </c>
    </row>
    <row r="52" customFormat="false" ht="15" hidden="false" customHeight="false" outlineLevel="0" collapsed="false">
      <c r="A52" s="0" t="n">
        <v>2</v>
      </c>
      <c r="B52" s="4" t="n">
        <f aca="false">SUM(F24:F35)</f>
        <v>1358772</v>
      </c>
      <c r="C52" s="4" t="n">
        <f aca="false">SUM(G24:G35)</f>
        <v>47737.02</v>
      </c>
      <c r="D52" s="4" t="n">
        <f aca="false">SUM(H24:H35)</f>
        <v>1311034.98</v>
      </c>
    </row>
    <row r="53" customFormat="false" ht="15" hidden="false" customHeight="false" outlineLevel="0" collapsed="false">
      <c r="A53" s="0" t="n">
        <v>3</v>
      </c>
      <c r="B53" s="4" t="n">
        <f aca="false">SUM(F36:F47)</f>
        <v>5430312</v>
      </c>
      <c r="C53" s="4" t="n">
        <f aca="false">SUM(G36:G47)</f>
        <v>190240.92</v>
      </c>
      <c r="D53" s="4" t="n">
        <f aca="false">SUM(H36:H47)</f>
        <v>5240071.08</v>
      </c>
    </row>
  </sheetData>
  <mergeCells count="3">
    <mergeCell ref="A1:O1"/>
    <mergeCell ref="A3:B3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</cols>
  <sheetData>
    <row r="1" customFormat="false" ht="24.7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3" t="s">
        <v>45</v>
      </c>
      <c r="B3" s="3" t="s">
        <v>46</v>
      </c>
    </row>
    <row r="4" customFormat="false" ht="15" hidden="false" customHeight="false" outlineLevel="0" collapsed="false">
      <c r="A4" s="0" t="s">
        <v>47</v>
      </c>
      <c r="B4" s="4" t="n">
        <v>35000</v>
      </c>
    </row>
    <row r="5" customFormat="false" ht="15" hidden="false" customHeight="false" outlineLevel="0" collapsed="false">
      <c r="A5" s="0" t="s">
        <v>48</v>
      </c>
      <c r="B5" s="4" t="n">
        <v>5000</v>
      </c>
    </row>
    <row r="6" customFormat="false" ht="15" hidden="false" customHeight="false" outlineLevel="0" collapsed="false">
      <c r="A6" s="0" t="s">
        <v>49</v>
      </c>
      <c r="B6" s="4" t="n">
        <v>3000</v>
      </c>
    </row>
    <row r="7" customFormat="false" ht="15" hidden="false" customHeight="false" outlineLevel="0" collapsed="false">
      <c r="A7" s="0" t="s">
        <v>50</v>
      </c>
      <c r="B7" s="4" t="n">
        <v>2500</v>
      </c>
    </row>
    <row r="8" customFormat="false" ht="15" hidden="false" customHeight="false" outlineLevel="0" collapsed="false">
      <c r="A8" s="0" t="s">
        <v>51</v>
      </c>
      <c r="B8" s="4" t="n">
        <v>8000</v>
      </c>
    </row>
    <row r="9" customFormat="false" ht="15" hidden="false" customHeight="false" outlineLevel="0" collapsed="false">
      <c r="A9" s="0" t="s">
        <v>52</v>
      </c>
      <c r="B9" s="4" t="n">
        <v>1000</v>
      </c>
    </row>
    <row r="10" customFormat="false" ht="15" hidden="false" customHeight="false" outlineLevel="0" collapsed="false">
      <c r="A10" s="0" t="s">
        <v>53</v>
      </c>
      <c r="B10" s="4" t="n">
        <v>2000</v>
      </c>
    </row>
    <row r="11" customFormat="false" ht="15" hidden="false" customHeight="false" outlineLevel="0" collapsed="false">
      <c r="A11" s="0" t="s">
        <v>54</v>
      </c>
      <c r="B11" s="4" t="n">
        <f aca="false">SUM(B4:B10)*0.1</f>
        <v>5650</v>
      </c>
    </row>
    <row r="12" customFormat="false" ht="15" hidden="false" customHeight="false" outlineLevel="0" collapsed="false">
      <c r="A12" s="8" t="s">
        <v>55</v>
      </c>
      <c r="B12" s="9" t="n">
        <f aca="false">SUM(B4:B11)</f>
        <v>62150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</cols>
  <sheetData>
    <row r="1" customFormat="false" ht="24.7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3" t="s">
        <v>45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</row>
    <row r="4" customFormat="false" ht="15" hidden="false" customHeight="false" outlineLevel="0" collapsed="false">
      <c r="A4" s="0" t="s">
        <v>62</v>
      </c>
      <c r="B4" s="10" t="n">
        <v>25</v>
      </c>
      <c r="C4" s="4" t="n">
        <f aca="false">B4*57.2</f>
        <v>1430</v>
      </c>
      <c r="D4" s="4" t="n">
        <f aca="false">C4*12</f>
        <v>17160</v>
      </c>
      <c r="E4" s="4" t="n">
        <f aca="false">C4*12</f>
        <v>17160</v>
      </c>
      <c r="F4" s="4" t="n">
        <f aca="false">C4*12</f>
        <v>17160</v>
      </c>
    </row>
    <row r="5" customFormat="false" ht="15" hidden="false" customHeight="false" outlineLevel="0" collapsed="false">
      <c r="A5" s="0" t="s">
        <v>63</v>
      </c>
      <c r="B5" s="10" t="n">
        <v>20</v>
      </c>
      <c r="C5" s="4" t="n">
        <f aca="false">B5*57.2</f>
        <v>1144</v>
      </c>
      <c r="D5" s="4" t="n">
        <f aca="false">C5*12</f>
        <v>13728</v>
      </c>
      <c r="E5" s="4" t="n">
        <f aca="false">C5*12</f>
        <v>13728</v>
      </c>
      <c r="F5" s="4" t="n">
        <f aca="false">C5*12</f>
        <v>13728</v>
      </c>
    </row>
    <row r="6" customFormat="false" ht="15" hidden="false" customHeight="false" outlineLevel="0" collapsed="false">
      <c r="A6" s="0" t="s">
        <v>64</v>
      </c>
      <c r="B6" s="10" t="n">
        <v>1</v>
      </c>
      <c r="C6" s="4" t="n">
        <f aca="false">B6*57.2</f>
        <v>57.2</v>
      </c>
      <c r="D6" s="4" t="n">
        <f aca="false">C6*12</f>
        <v>686.4</v>
      </c>
      <c r="E6" s="4" t="n">
        <f aca="false">C6*12</f>
        <v>686.4</v>
      </c>
      <c r="F6" s="4" t="n">
        <f aca="false">C6*12</f>
        <v>686.4</v>
      </c>
    </row>
    <row r="7" customFormat="false" ht="15" hidden="false" customHeight="false" outlineLevel="0" collapsed="false">
      <c r="A7" s="0" t="s">
        <v>65</v>
      </c>
      <c r="B7" s="10" t="n">
        <v>26</v>
      </c>
      <c r="C7" s="4" t="n">
        <f aca="false">B7*57.2</f>
        <v>1487.2</v>
      </c>
      <c r="D7" s="4" t="n">
        <f aca="false">C7*12</f>
        <v>17846.4</v>
      </c>
      <c r="E7" s="4" t="n">
        <f aca="false">C7*12</f>
        <v>17846.4</v>
      </c>
      <c r="F7" s="4" t="n">
        <f aca="false">C7*12</f>
        <v>17846.4</v>
      </c>
    </row>
    <row r="8" customFormat="false" ht="15" hidden="false" customHeight="false" outlineLevel="0" collapsed="false">
      <c r="A8" s="0" t="s">
        <v>66</v>
      </c>
      <c r="B8" s="10" t="n">
        <v>7</v>
      </c>
      <c r="C8" s="4" t="n">
        <f aca="false">B8*57.2</f>
        <v>400.4</v>
      </c>
      <c r="D8" s="4" t="n">
        <f aca="false">C8*12</f>
        <v>4804.8</v>
      </c>
      <c r="E8" s="4" t="n">
        <f aca="false">C8*12</f>
        <v>4804.8</v>
      </c>
      <c r="F8" s="4" t="n">
        <f aca="false">C8*12</f>
        <v>4804.8</v>
      </c>
    </row>
    <row r="9" customFormat="false" ht="15" hidden="false" customHeight="false" outlineLevel="0" collapsed="false">
      <c r="A9" s="0" t="s">
        <v>53</v>
      </c>
      <c r="B9" s="10" t="n">
        <v>10</v>
      </c>
      <c r="C9" s="4" t="n">
        <f aca="false">B9*57.2</f>
        <v>572</v>
      </c>
      <c r="D9" s="4" t="n">
        <f aca="false">C9*12</f>
        <v>6864</v>
      </c>
      <c r="E9" s="4" t="n">
        <f aca="false">C9*12</f>
        <v>6864</v>
      </c>
      <c r="F9" s="4" t="n">
        <f aca="false">C9*12</f>
        <v>6864</v>
      </c>
    </row>
    <row r="10" customFormat="false" ht="15" hidden="false" customHeight="false" outlineLevel="0" collapsed="false">
      <c r="A10" s="0" t="s">
        <v>67</v>
      </c>
      <c r="B10" s="10" t="n">
        <v>6</v>
      </c>
      <c r="C10" s="4" t="n">
        <f aca="false">B10*57.2</f>
        <v>343.2</v>
      </c>
      <c r="D10" s="4" t="n">
        <f aca="false">C10*12</f>
        <v>4118.4</v>
      </c>
      <c r="E10" s="4" t="n">
        <f aca="false">C10*12</f>
        <v>4118.4</v>
      </c>
      <c r="F10" s="4" t="n">
        <f aca="false">C10*12</f>
        <v>4118.4</v>
      </c>
    </row>
    <row r="11" customFormat="false" ht="15" hidden="false" customHeight="false" outlineLevel="0" collapsed="false">
      <c r="A11" s="0" t="s">
        <v>68</v>
      </c>
      <c r="B11" s="10" t="n">
        <v>0</v>
      </c>
      <c r="C11" s="4" t="n">
        <f aca="false">B11*57.2</f>
        <v>0</v>
      </c>
      <c r="D11" s="0" t="n">
        <v>0</v>
      </c>
      <c r="E11" s="4" t="n">
        <f aca="false">42*57.2*12</f>
        <v>28828.8</v>
      </c>
      <c r="F11" s="4" t="n">
        <f aca="false">42*57.2*12</f>
        <v>28828.8</v>
      </c>
    </row>
    <row r="12" customFormat="false" ht="15" hidden="false" customHeight="false" outlineLevel="0" collapsed="false">
      <c r="A12" s="0" t="s">
        <v>69</v>
      </c>
      <c r="B12" s="10" t="n">
        <v>0</v>
      </c>
      <c r="C12" s="4" t="n">
        <f aca="false">B12*57.2</f>
        <v>0</v>
      </c>
      <c r="D12" s="0" t="n">
        <v>0</v>
      </c>
      <c r="E12" s="4" t="n">
        <f aca="false">20*57.2*12</f>
        <v>13728</v>
      </c>
      <c r="F12" s="4" t="n">
        <f aca="false">20*57.2*12</f>
        <v>13728</v>
      </c>
    </row>
    <row r="13" customFormat="false" ht="15" hidden="false" customHeight="false" outlineLevel="0" collapsed="false">
      <c r="A13" s="8" t="s">
        <v>55</v>
      </c>
      <c r="D13" s="9" t="n">
        <f aca="false">SUM(D4:D12)</f>
        <v>65208</v>
      </c>
      <c r="E13" s="9" t="n">
        <f aca="false">SUM(E4:E12)</f>
        <v>107764.8</v>
      </c>
      <c r="F13" s="9" t="n">
        <f aca="false">SUM(F4:F12)</f>
        <v>107764.8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7" topLeftCell="A2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24.7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true" outlineLevel="0" collapsed="false">
      <c r="A3" s="2" t="s">
        <v>71</v>
      </c>
      <c r="B3" s="2"/>
    </row>
    <row r="4" customFormat="false" ht="15" hidden="false" customHeight="false" outlineLevel="0" collapsed="false">
      <c r="A4" s="0" t="s">
        <v>72</v>
      </c>
      <c r="B4" s="5" t="n">
        <v>57.2</v>
      </c>
    </row>
    <row r="5" customFormat="false" ht="15" hidden="false" customHeight="false" outlineLevel="0" collapsed="false">
      <c r="A5" s="0" t="s">
        <v>73</v>
      </c>
      <c r="B5" s="5" t="n">
        <v>3</v>
      </c>
    </row>
    <row r="6" customFormat="false" ht="15" hidden="false" customHeight="false" outlineLevel="0" collapsed="false">
      <c r="A6" s="0" t="s">
        <v>74</v>
      </c>
      <c r="B6" s="5" t="n">
        <v>15</v>
      </c>
    </row>
    <row r="7" customFormat="false" ht="15" hidden="false" customHeight="false" outlineLevel="0" collapsed="false">
      <c r="A7" s="0" t="s">
        <v>75</v>
      </c>
      <c r="B7" s="5" t="n">
        <v>0.8</v>
      </c>
    </row>
    <row r="8" customFormat="false" ht="15" hidden="false" customHeight="false" outlineLevel="0" collapsed="false">
      <c r="A8" s="0" t="s">
        <v>76</v>
      </c>
      <c r="B8" s="5" t="n">
        <v>4</v>
      </c>
    </row>
    <row r="9" customFormat="false" ht="15" hidden="false" customHeight="false" outlineLevel="0" collapsed="false">
      <c r="A9" s="0" t="s">
        <v>77</v>
      </c>
      <c r="B9" s="5" t="n">
        <v>1.5</v>
      </c>
    </row>
    <row r="10" customFormat="false" ht="15" hidden="false" customHeight="false" outlineLevel="0" collapsed="false">
      <c r="A10" s="0" t="s">
        <v>78</v>
      </c>
      <c r="B10" s="5" t="n">
        <v>40000</v>
      </c>
    </row>
    <row r="11" customFormat="false" ht="15" hidden="false" customHeight="false" outlineLevel="0" collapsed="false">
      <c r="A11" s="0" t="s">
        <v>79</v>
      </c>
      <c r="B11" s="5" t="n">
        <v>10000</v>
      </c>
    </row>
    <row r="12" customFormat="false" ht="15" hidden="false" customHeight="false" outlineLevel="0" collapsed="false">
      <c r="A12" s="0" t="s">
        <v>80</v>
      </c>
      <c r="B12" s="5" t="n">
        <v>15000</v>
      </c>
    </row>
    <row r="13" customFormat="false" ht="15" hidden="false" customHeight="false" outlineLevel="0" collapsed="false">
      <c r="A13" s="0" t="s">
        <v>81</v>
      </c>
      <c r="B13" s="5" t="n">
        <v>6000</v>
      </c>
    </row>
    <row r="14" customFormat="false" ht="15" hidden="false" customHeight="false" outlineLevel="0" collapsed="false">
      <c r="A14" s="0" t="s">
        <v>82</v>
      </c>
      <c r="B14" s="5" t="n">
        <v>10</v>
      </c>
    </row>
    <row r="15" customFormat="false" ht="15" hidden="false" customHeight="false" outlineLevel="0" collapsed="false">
      <c r="A15" s="0" t="s">
        <v>83</v>
      </c>
      <c r="B15" s="5" t="n">
        <v>120000</v>
      </c>
    </row>
    <row r="16" customFormat="false" ht="15" hidden="false" customHeight="false" outlineLevel="0" collapsed="false">
      <c r="A16" s="0" t="s">
        <v>84</v>
      </c>
      <c r="B16" s="5" t="n">
        <v>36000</v>
      </c>
    </row>
    <row r="17" customFormat="false" ht="15" hidden="false" customHeight="false" outlineLevel="0" collapsed="false">
      <c r="A17" s="0" t="s">
        <v>85</v>
      </c>
      <c r="B17" s="5" t="n">
        <v>50000</v>
      </c>
    </row>
    <row r="18" customFormat="false" ht="15" hidden="false" customHeight="false" outlineLevel="0" collapsed="false">
      <c r="A18" s="0" t="s">
        <v>86</v>
      </c>
      <c r="B18" s="5" t="n">
        <v>20000</v>
      </c>
    </row>
    <row r="19" customFormat="false" ht="15" hidden="false" customHeight="false" outlineLevel="0" collapsed="false">
      <c r="A19" s="0" t="s">
        <v>87</v>
      </c>
      <c r="B19" s="5" t="n">
        <v>25</v>
      </c>
    </row>
    <row r="20" customFormat="false" ht="15" hidden="false" customHeight="false" outlineLevel="0" collapsed="false">
      <c r="A20" s="0" t="s">
        <v>88</v>
      </c>
      <c r="B20" s="5" t="n">
        <v>240000</v>
      </c>
    </row>
    <row r="21" customFormat="false" ht="15" hidden="false" customHeight="false" outlineLevel="0" collapsed="false">
      <c r="A21" s="0" t="s">
        <v>89</v>
      </c>
      <c r="B21" s="5" t="n">
        <v>72000</v>
      </c>
    </row>
    <row r="22" customFormat="false" ht="15" hidden="false" customHeight="false" outlineLevel="0" collapsed="false">
      <c r="A22" s="0" t="s">
        <v>90</v>
      </c>
      <c r="B22" s="5" t="n">
        <v>100000</v>
      </c>
    </row>
    <row r="23" customFormat="false" ht="15" hidden="false" customHeight="false" outlineLevel="0" collapsed="false">
      <c r="A23" s="0" t="s">
        <v>91</v>
      </c>
      <c r="B23" s="5" t="n">
        <v>40000</v>
      </c>
    </row>
    <row r="24" customFormat="false" ht="15" hidden="false" customHeight="false" outlineLevel="0" collapsed="false">
      <c r="A24" s="0" t="s">
        <v>92</v>
      </c>
      <c r="B24" s="5" t="n">
        <v>50</v>
      </c>
    </row>
    <row r="27" customFormat="false" ht="15" hidden="false" customHeight="false" outlineLevel="0" collapsed="false">
      <c r="A27" s="3" t="s">
        <v>25</v>
      </c>
      <c r="B27" s="3" t="s">
        <v>28</v>
      </c>
      <c r="C27" s="3" t="s">
        <v>29</v>
      </c>
      <c r="D27" s="3" t="s">
        <v>93</v>
      </c>
      <c r="E27" s="3" t="s">
        <v>94</v>
      </c>
      <c r="F27" s="3" t="s">
        <v>95</v>
      </c>
      <c r="G27" s="3" t="s">
        <v>96</v>
      </c>
      <c r="H27" s="3" t="s">
        <v>97</v>
      </c>
    </row>
    <row r="28" customFormat="false" ht="15" hidden="false" customHeight="false" outlineLevel="0" collapsed="false">
      <c r="A28" s="0" t="n">
        <v>1</v>
      </c>
      <c r="B28" s="4" t="n">
        <f aca="false">'User Growth'!D19</f>
        <v>1100</v>
      </c>
      <c r="C28" s="4" t="n">
        <f aca="false">'User Growth'!E19</f>
        <v>0.8</v>
      </c>
      <c r="D28" s="4" t="n">
        <f aca="false">'User Growth'!F19</f>
        <v>0</v>
      </c>
      <c r="E28" s="4" t="n">
        <f aca="false">B28*(($B$7*$B$2+$B$8*$B$3)/1000000+($B$9*$B$4+$B$10*$B$5)/1000000+$B$11*$B$6/1000)*$B$1</f>
        <v>0</v>
      </c>
      <c r="F28" s="4" t="n">
        <f aca="false">C28*(($B$12*$B$2+$B$13*$B$3)/1000000+($B$14*$B$4+$B$15*$B$5)/1000000+$B$16*$B$6/1000)*$B$1</f>
        <v>0</v>
      </c>
      <c r="G28" s="4" t="n">
        <f aca="false">D28*(($B$17*$B$2+$B$18*$B$3)/1000000+($B$19*$B$4+$B$20*$B$5)/1000000+$B$21*$B$6/1000)*$B$1</f>
        <v>0</v>
      </c>
      <c r="H28" s="4" t="n">
        <f aca="false">E28+F28+G28</f>
        <v>0</v>
      </c>
    </row>
    <row r="29" customFormat="false" ht="15" hidden="false" customHeight="false" outlineLevel="0" collapsed="false">
      <c r="A29" s="0" t="n">
        <v>2</v>
      </c>
      <c r="B29" s="4" t="n">
        <f aca="false">'User Growth'!D20</f>
        <v>1980</v>
      </c>
      <c r="C29" s="4" t="n">
        <f aca="false">'User Growth'!E20</f>
        <v>1.44</v>
      </c>
      <c r="D29" s="4" t="n">
        <f aca="false">'User Growth'!F20</f>
        <v>0</v>
      </c>
      <c r="E29" s="4" t="n">
        <f aca="false">B29*(($B$7*$B$2+$B$8*$B$3)/1000000+($B$9*$B$4+$B$10*$B$5)/1000000+$B$11*$B$6/1000)*$B$1</f>
        <v>0</v>
      </c>
      <c r="F29" s="4" t="n">
        <f aca="false">C29*(($B$12*$B$2+$B$13*$B$3)/1000000+($B$14*$B$4+$B$15*$B$5)/1000000+$B$16*$B$6/1000)*$B$1</f>
        <v>0</v>
      </c>
      <c r="G29" s="4" t="n">
        <f aca="false">D29*(($B$17*$B$2+$B$18*$B$3)/1000000+($B$19*$B$4+$B$20*$B$5)/1000000+$B$21*$B$6/1000)*$B$1</f>
        <v>0</v>
      </c>
      <c r="H29" s="4" t="n">
        <f aca="false">E29+F29+G29</f>
        <v>0</v>
      </c>
    </row>
    <row r="30" customFormat="false" ht="15" hidden="false" customHeight="false" outlineLevel="0" collapsed="false">
      <c r="A30" s="0" t="n">
        <v>3</v>
      </c>
      <c r="B30" s="4" t="n">
        <f aca="false">'User Growth'!D21</f>
        <v>2860</v>
      </c>
      <c r="C30" s="4" t="n">
        <f aca="false">'User Growth'!E21</f>
        <v>2.08</v>
      </c>
      <c r="D30" s="4" t="n">
        <f aca="false">'User Growth'!F21</f>
        <v>0</v>
      </c>
      <c r="E30" s="4" t="n">
        <f aca="false">B30*(($B$7*$B$2+$B$8*$B$3)/1000000+($B$9*$B$4+$B$10*$B$5)/1000000+$B$11*$B$6/1000)*$B$1</f>
        <v>0</v>
      </c>
      <c r="F30" s="4" t="n">
        <f aca="false">C30*(($B$12*$B$2+$B$13*$B$3)/1000000+($B$14*$B$4+$B$15*$B$5)/1000000+$B$16*$B$6/1000)*$B$1</f>
        <v>0</v>
      </c>
      <c r="G30" s="4" t="n">
        <f aca="false">D30*(($B$17*$B$2+$B$18*$B$3)/1000000+($B$19*$B$4+$B$20*$B$5)/1000000+$B$21*$B$6/1000)*$B$1</f>
        <v>0</v>
      </c>
      <c r="H30" s="4" t="n">
        <f aca="false">E30+F30+G30</f>
        <v>0</v>
      </c>
    </row>
    <row r="31" customFormat="false" ht="15" hidden="false" customHeight="false" outlineLevel="0" collapsed="false">
      <c r="A31" s="0" t="n">
        <v>4</v>
      </c>
      <c r="B31" s="4" t="n">
        <f aca="false">'User Growth'!D22</f>
        <v>3740</v>
      </c>
      <c r="C31" s="4" t="n">
        <f aca="false">'User Growth'!E22</f>
        <v>2.72</v>
      </c>
      <c r="D31" s="4" t="n">
        <f aca="false">'User Growth'!F22</f>
        <v>0</v>
      </c>
      <c r="E31" s="4" t="n">
        <f aca="false">B31*(($B$7*$B$2+$B$8*$B$3)/1000000+($B$9*$B$4+$B$10*$B$5)/1000000+$B$11*$B$6/1000)*$B$1</f>
        <v>0</v>
      </c>
      <c r="F31" s="4" t="n">
        <f aca="false">C31*(($B$12*$B$2+$B$13*$B$3)/1000000+($B$14*$B$4+$B$15*$B$5)/1000000+$B$16*$B$6/1000)*$B$1</f>
        <v>0</v>
      </c>
      <c r="G31" s="4" t="n">
        <f aca="false">D31*(($B$17*$B$2+$B$18*$B$3)/1000000+($B$19*$B$4+$B$20*$B$5)/1000000+$B$21*$B$6/1000)*$B$1</f>
        <v>0</v>
      </c>
      <c r="H31" s="4" t="n">
        <f aca="false">E31+F31+G31</f>
        <v>0</v>
      </c>
    </row>
    <row r="32" customFormat="false" ht="15" hidden="false" customHeight="false" outlineLevel="0" collapsed="false">
      <c r="A32" s="0" t="n">
        <v>5</v>
      </c>
      <c r="B32" s="4" t="n">
        <f aca="false">'User Growth'!D23</f>
        <v>4620</v>
      </c>
      <c r="C32" s="4" t="n">
        <f aca="false">'User Growth'!E23</f>
        <v>3.36</v>
      </c>
      <c r="D32" s="4" t="n">
        <f aca="false">'User Growth'!F23</f>
        <v>0</v>
      </c>
      <c r="E32" s="4" t="n">
        <f aca="false">B32*(($B$7*$B$2+$B$8*$B$3)/1000000+($B$9*$B$4+$B$10*$B$5)/1000000+$B$11*$B$6/1000)*$B$1</f>
        <v>0</v>
      </c>
      <c r="F32" s="4" t="n">
        <f aca="false">C32*(($B$12*$B$2+$B$13*$B$3)/1000000+($B$14*$B$4+$B$15*$B$5)/1000000+$B$16*$B$6/1000)*$B$1</f>
        <v>0</v>
      </c>
      <c r="G32" s="4" t="n">
        <f aca="false">D32*(($B$17*$B$2+$B$18*$B$3)/1000000+($B$19*$B$4+$B$20*$B$5)/1000000+$B$21*$B$6/1000)*$B$1</f>
        <v>0</v>
      </c>
      <c r="H32" s="4" t="n">
        <f aca="false">E32+F32+G32</f>
        <v>0</v>
      </c>
    </row>
    <row r="33" customFormat="false" ht="15" hidden="false" customHeight="false" outlineLevel="0" collapsed="false">
      <c r="A33" s="0" t="n">
        <v>6</v>
      </c>
      <c r="B33" s="4" t="n">
        <f aca="false">'User Growth'!D24</f>
        <v>5500</v>
      </c>
      <c r="C33" s="4" t="n">
        <f aca="false">'User Growth'!E24</f>
        <v>4</v>
      </c>
      <c r="D33" s="4" t="n">
        <f aca="false">'User Growth'!F24</f>
        <v>0</v>
      </c>
      <c r="E33" s="4" t="n">
        <f aca="false">B33*(($B$7*$B$2+$B$8*$B$3)/1000000+($B$9*$B$4+$B$10*$B$5)/1000000+$B$11*$B$6/1000)*$B$1</f>
        <v>0</v>
      </c>
      <c r="F33" s="4" t="n">
        <f aca="false">C33*(($B$12*$B$2+$B$13*$B$3)/1000000+($B$14*$B$4+$B$15*$B$5)/1000000+$B$16*$B$6/1000)*$B$1</f>
        <v>0</v>
      </c>
      <c r="G33" s="4" t="n">
        <f aca="false">D33*(($B$17*$B$2+$B$18*$B$3)/1000000+($B$19*$B$4+$B$20*$B$5)/1000000+$B$21*$B$6/1000)*$B$1</f>
        <v>0</v>
      </c>
      <c r="H33" s="4" t="n">
        <f aca="false">E33+F33+G33</f>
        <v>0</v>
      </c>
    </row>
    <row r="34" customFormat="false" ht="15" hidden="false" customHeight="false" outlineLevel="0" collapsed="false">
      <c r="A34" s="0" t="n">
        <v>7</v>
      </c>
      <c r="B34" s="4" t="n">
        <f aca="false">'User Growth'!D25</f>
        <v>6820</v>
      </c>
      <c r="C34" s="4" t="n">
        <f aca="false">'User Growth'!E25</f>
        <v>4.96</v>
      </c>
      <c r="D34" s="4" t="n">
        <f aca="false">'User Growth'!F25</f>
        <v>0</v>
      </c>
      <c r="E34" s="4" t="n">
        <f aca="false">B34*(($B$7*$B$2+$B$8*$B$3)/1000000+($B$9*$B$4+$B$10*$B$5)/1000000+$B$11*$B$6/1000)*$B$1</f>
        <v>0</v>
      </c>
      <c r="F34" s="4" t="n">
        <f aca="false">C34*(($B$12*$B$2+$B$13*$B$3)/1000000+($B$14*$B$4+$B$15*$B$5)/1000000+$B$16*$B$6/1000)*$B$1</f>
        <v>0</v>
      </c>
      <c r="G34" s="4" t="n">
        <f aca="false">D34*(($B$17*$B$2+$B$18*$B$3)/1000000+($B$19*$B$4+$B$20*$B$5)/1000000+$B$21*$B$6/1000)*$B$1</f>
        <v>0</v>
      </c>
      <c r="H34" s="4" t="n">
        <f aca="false">E34+F34+G34</f>
        <v>0</v>
      </c>
    </row>
    <row r="35" customFormat="false" ht="15" hidden="false" customHeight="false" outlineLevel="0" collapsed="false">
      <c r="A35" s="0" t="n">
        <v>8</v>
      </c>
      <c r="B35" s="4" t="n">
        <f aca="false">'User Growth'!D26</f>
        <v>8140</v>
      </c>
      <c r="C35" s="4" t="n">
        <f aca="false">'User Growth'!E26</f>
        <v>5.92</v>
      </c>
      <c r="D35" s="4" t="n">
        <f aca="false">'User Growth'!F26</f>
        <v>0</v>
      </c>
      <c r="E35" s="4" t="n">
        <f aca="false">B35*(($B$7*$B$2+$B$8*$B$3)/1000000+($B$9*$B$4+$B$10*$B$5)/1000000+$B$11*$B$6/1000)*$B$1</f>
        <v>0</v>
      </c>
      <c r="F35" s="4" t="n">
        <f aca="false">C35*(($B$12*$B$2+$B$13*$B$3)/1000000+($B$14*$B$4+$B$15*$B$5)/1000000+$B$16*$B$6/1000)*$B$1</f>
        <v>0</v>
      </c>
      <c r="G35" s="4" t="n">
        <f aca="false">D35*(($B$17*$B$2+$B$18*$B$3)/1000000+($B$19*$B$4+$B$20*$B$5)/1000000+$B$21*$B$6/1000)*$B$1</f>
        <v>0</v>
      </c>
      <c r="H35" s="4" t="n">
        <f aca="false">E35+F35+G35</f>
        <v>0</v>
      </c>
    </row>
    <row r="36" customFormat="false" ht="15" hidden="false" customHeight="false" outlineLevel="0" collapsed="false">
      <c r="A36" s="0" t="n">
        <v>9</v>
      </c>
      <c r="B36" s="4" t="n">
        <f aca="false">'User Growth'!D27</f>
        <v>9460</v>
      </c>
      <c r="C36" s="4" t="n">
        <f aca="false">'User Growth'!E27</f>
        <v>6.88</v>
      </c>
      <c r="D36" s="4" t="n">
        <f aca="false">'User Growth'!F27</f>
        <v>0</v>
      </c>
      <c r="E36" s="4" t="n">
        <f aca="false">B36*(($B$7*$B$2+$B$8*$B$3)/1000000+($B$9*$B$4+$B$10*$B$5)/1000000+$B$11*$B$6/1000)*$B$1</f>
        <v>0</v>
      </c>
      <c r="F36" s="4" t="n">
        <f aca="false">C36*(($B$12*$B$2+$B$13*$B$3)/1000000+($B$14*$B$4+$B$15*$B$5)/1000000+$B$16*$B$6/1000)*$B$1</f>
        <v>0</v>
      </c>
      <c r="G36" s="4" t="n">
        <f aca="false">D36*(($B$17*$B$2+$B$18*$B$3)/1000000+($B$19*$B$4+$B$20*$B$5)/1000000+$B$21*$B$6/1000)*$B$1</f>
        <v>0</v>
      </c>
      <c r="H36" s="4" t="n">
        <f aca="false">E36+F36+G36</f>
        <v>0</v>
      </c>
    </row>
    <row r="37" customFormat="false" ht="15" hidden="false" customHeight="false" outlineLevel="0" collapsed="false">
      <c r="A37" s="0" t="n">
        <v>10</v>
      </c>
      <c r="B37" s="4" t="n">
        <f aca="false">'User Growth'!D28</f>
        <v>10780</v>
      </c>
      <c r="C37" s="4" t="n">
        <f aca="false">'User Growth'!E28</f>
        <v>7.84</v>
      </c>
      <c r="D37" s="4" t="n">
        <f aca="false">'User Growth'!F28</f>
        <v>0</v>
      </c>
      <c r="E37" s="4" t="n">
        <f aca="false">B37*(($B$7*$B$2+$B$8*$B$3)/1000000+($B$9*$B$4+$B$10*$B$5)/1000000+$B$11*$B$6/1000)*$B$1</f>
        <v>0</v>
      </c>
      <c r="F37" s="4" t="n">
        <f aca="false">C37*(($B$12*$B$2+$B$13*$B$3)/1000000+($B$14*$B$4+$B$15*$B$5)/1000000+$B$16*$B$6/1000)*$B$1</f>
        <v>0</v>
      </c>
      <c r="G37" s="4" t="n">
        <f aca="false">D37*(($B$17*$B$2+$B$18*$B$3)/1000000+($B$19*$B$4+$B$20*$B$5)/1000000+$B$21*$B$6/1000)*$B$1</f>
        <v>0</v>
      </c>
      <c r="H37" s="4" t="n">
        <f aca="false">E37+F37+G37</f>
        <v>0</v>
      </c>
    </row>
    <row r="38" customFormat="false" ht="15" hidden="false" customHeight="false" outlineLevel="0" collapsed="false">
      <c r="A38" s="0" t="n">
        <v>11</v>
      </c>
      <c r="B38" s="4" t="n">
        <f aca="false">'User Growth'!D29</f>
        <v>12100</v>
      </c>
      <c r="C38" s="4" t="n">
        <f aca="false">'User Growth'!E29</f>
        <v>8.8</v>
      </c>
      <c r="D38" s="4" t="n">
        <f aca="false">'User Growth'!F29</f>
        <v>0</v>
      </c>
      <c r="E38" s="4" t="n">
        <f aca="false">B38*(($B$7*$B$2+$B$8*$B$3)/1000000+($B$9*$B$4+$B$10*$B$5)/1000000+$B$11*$B$6/1000)*$B$1</f>
        <v>0</v>
      </c>
      <c r="F38" s="4" t="n">
        <f aca="false">C38*(($B$12*$B$2+$B$13*$B$3)/1000000+($B$14*$B$4+$B$15*$B$5)/1000000+$B$16*$B$6/1000)*$B$1</f>
        <v>0</v>
      </c>
      <c r="G38" s="4" t="n">
        <f aca="false">D38*(($B$17*$B$2+$B$18*$B$3)/1000000+($B$19*$B$4+$B$20*$B$5)/1000000+$B$21*$B$6/1000)*$B$1</f>
        <v>0</v>
      </c>
      <c r="H38" s="4" t="n">
        <f aca="false">E38+F38+G38</f>
        <v>0</v>
      </c>
    </row>
    <row r="39" customFormat="false" ht="15" hidden="false" customHeight="false" outlineLevel="0" collapsed="false">
      <c r="A39" s="0" t="n">
        <v>12</v>
      </c>
      <c r="B39" s="4" t="n">
        <f aca="false">'User Growth'!D30</f>
        <v>13420</v>
      </c>
      <c r="C39" s="4" t="n">
        <f aca="false">'User Growth'!E30</f>
        <v>9.76</v>
      </c>
      <c r="D39" s="4" t="n">
        <f aca="false">'User Growth'!F30</f>
        <v>0</v>
      </c>
      <c r="E39" s="4" t="n">
        <f aca="false">B39*(($B$7*$B$2+$B$8*$B$3)/1000000+($B$9*$B$4+$B$10*$B$5)/1000000+$B$11*$B$6/1000)*$B$1</f>
        <v>0</v>
      </c>
      <c r="F39" s="4" t="n">
        <f aca="false">C39*(($B$12*$B$2+$B$13*$B$3)/1000000+($B$14*$B$4+$B$15*$B$5)/1000000+$B$16*$B$6/1000)*$B$1</f>
        <v>0</v>
      </c>
      <c r="G39" s="4" t="n">
        <f aca="false">D39*(($B$17*$B$2+$B$18*$B$3)/1000000+($B$19*$B$4+$B$20*$B$5)/1000000+$B$21*$B$6/1000)*$B$1</f>
        <v>0</v>
      </c>
      <c r="H39" s="4" t="n">
        <f aca="false">E39+F39+G39</f>
        <v>0</v>
      </c>
    </row>
    <row r="40" customFormat="false" ht="15" hidden="false" customHeight="false" outlineLevel="0" collapsed="false">
      <c r="A40" s="0" t="n">
        <v>13</v>
      </c>
      <c r="B40" s="4" t="n">
        <f aca="false">'User Growth'!D31</f>
        <v>7.35</v>
      </c>
      <c r="C40" s="4" t="n">
        <f aca="false">'User Growth'!E31</f>
        <v>98.49</v>
      </c>
      <c r="D40" s="4" t="n">
        <f aca="false">'User Growth'!F31</f>
        <v>48.51</v>
      </c>
      <c r="E40" s="4" t="n">
        <f aca="false">B40*(($B$7*$B$2+$B$8*$B$3)/1000000+($B$9*$B$4+$B$10*$B$5)/1000000+$B$11*$B$6/1000)*$B$1</f>
        <v>0</v>
      </c>
      <c r="F40" s="4" t="n">
        <f aca="false">C40*(($B$12*$B$2+$B$13*$B$3)/1000000+($B$14*$B$4+$B$15*$B$5)/1000000+$B$16*$B$6/1000)*$B$1</f>
        <v>0</v>
      </c>
      <c r="G40" s="4" t="n">
        <f aca="false">D40*(($B$17*$B$2+$B$18*$B$3)/1000000+($B$19*$B$4+$B$20*$B$5)/1000000+$B$21*$B$6/1000)*$B$1</f>
        <v>0</v>
      </c>
      <c r="H40" s="4" t="n">
        <f aca="false">E40+F40+G40</f>
        <v>0</v>
      </c>
    </row>
    <row r="41" customFormat="false" ht="15" hidden="false" customHeight="false" outlineLevel="0" collapsed="false">
      <c r="A41" s="0" t="n">
        <v>14</v>
      </c>
      <c r="B41" s="4" t="n">
        <f aca="false">'User Growth'!D32</f>
        <v>8.6</v>
      </c>
      <c r="C41" s="4" t="n">
        <f aca="false">'User Growth'!E32</f>
        <v>115.24</v>
      </c>
      <c r="D41" s="4" t="n">
        <f aca="false">'User Growth'!F32</f>
        <v>56.76</v>
      </c>
      <c r="E41" s="4" t="n">
        <f aca="false">B41*(($B$7*$B$2+$B$8*$B$3)/1000000+($B$9*$B$4+$B$10*$B$5)/1000000+$B$11*$B$6/1000)*$B$1</f>
        <v>0</v>
      </c>
      <c r="F41" s="4" t="n">
        <f aca="false">C41*(($B$12*$B$2+$B$13*$B$3)/1000000+($B$14*$B$4+$B$15*$B$5)/1000000+$B$16*$B$6/1000)*$B$1</f>
        <v>0</v>
      </c>
      <c r="G41" s="4" t="n">
        <f aca="false">D41*(($B$17*$B$2+$B$18*$B$3)/1000000+($B$19*$B$4+$B$20*$B$5)/1000000+$B$21*$B$6/1000)*$B$1</f>
        <v>0</v>
      </c>
      <c r="H41" s="4" t="n">
        <f aca="false">E41+F41+G41</f>
        <v>0</v>
      </c>
    </row>
    <row r="42" customFormat="false" ht="15" hidden="false" customHeight="false" outlineLevel="0" collapsed="false">
      <c r="A42" s="0" t="n">
        <v>15</v>
      </c>
      <c r="B42" s="4" t="n">
        <f aca="false">'User Growth'!D33</f>
        <v>9.85</v>
      </c>
      <c r="C42" s="4" t="n">
        <f aca="false">'User Growth'!E33</f>
        <v>131.99</v>
      </c>
      <c r="D42" s="4" t="n">
        <f aca="false">'User Growth'!F33</f>
        <v>65.01</v>
      </c>
      <c r="E42" s="4" t="n">
        <f aca="false">B42*(($B$7*$B$2+$B$8*$B$3)/1000000+($B$9*$B$4+$B$10*$B$5)/1000000+$B$11*$B$6/1000)*$B$1</f>
        <v>0</v>
      </c>
      <c r="F42" s="4" t="n">
        <f aca="false">C42*(($B$12*$B$2+$B$13*$B$3)/1000000+($B$14*$B$4+$B$15*$B$5)/1000000+$B$16*$B$6/1000)*$B$1</f>
        <v>0</v>
      </c>
      <c r="G42" s="4" t="n">
        <f aca="false">D42*(($B$17*$B$2+$B$18*$B$3)/1000000+($B$19*$B$4+$B$20*$B$5)/1000000+$B$21*$B$6/1000)*$B$1</f>
        <v>0</v>
      </c>
      <c r="H42" s="4" t="n">
        <f aca="false">E42+F42+G42</f>
        <v>0</v>
      </c>
    </row>
    <row r="43" customFormat="false" ht="15" hidden="false" customHeight="false" outlineLevel="0" collapsed="false">
      <c r="A43" s="0" t="n">
        <v>16</v>
      </c>
      <c r="B43" s="4" t="n">
        <f aca="false">'User Growth'!D34</f>
        <v>11.1</v>
      </c>
      <c r="C43" s="4" t="n">
        <f aca="false">'User Growth'!E34</f>
        <v>148.74</v>
      </c>
      <c r="D43" s="4" t="n">
        <f aca="false">'User Growth'!F34</f>
        <v>73.26</v>
      </c>
      <c r="E43" s="4" t="n">
        <f aca="false">B43*(($B$7*$B$2+$B$8*$B$3)/1000000+($B$9*$B$4+$B$10*$B$5)/1000000+$B$11*$B$6/1000)*$B$1</f>
        <v>0</v>
      </c>
      <c r="F43" s="4" t="n">
        <f aca="false">C43*(($B$12*$B$2+$B$13*$B$3)/1000000+($B$14*$B$4+$B$15*$B$5)/1000000+$B$16*$B$6/1000)*$B$1</f>
        <v>0</v>
      </c>
      <c r="G43" s="4" t="n">
        <f aca="false">D43*(($B$17*$B$2+$B$18*$B$3)/1000000+($B$19*$B$4+$B$20*$B$5)/1000000+$B$21*$B$6/1000)*$B$1</f>
        <v>0</v>
      </c>
      <c r="H43" s="4" t="n">
        <f aca="false">E43+F43+G43</f>
        <v>0</v>
      </c>
    </row>
    <row r="44" customFormat="false" ht="15" hidden="false" customHeight="false" outlineLevel="0" collapsed="false">
      <c r="A44" s="0" t="n">
        <v>17</v>
      </c>
      <c r="B44" s="4" t="n">
        <f aca="false">'User Growth'!D35</f>
        <v>12.35</v>
      </c>
      <c r="C44" s="4" t="n">
        <f aca="false">'User Growth'!E35</f>
        <v>165.49</v>
      </c>
      <c r="D44" s="4" t="n">
        <f aca="false">'User Growth'!F35</f>
        <v>81.51</v>
      </c>
      <c r="E44" s="4" t="n">
        <f aca="false">B44*(($B$7*$B$2+$B$8*$B$3)/1000000+($B$9*$B$4+$B$10*$B$5)/1000000+$B$11*$B$6/1000)*$B$1</f>
        <v>0</v>
      </c>
      <c r="F44" s="4" t="n">
        <f aca="false">C44*(($B$12*$B$2+$B$13*$B$3)/1000000+($B$14*$B$4+$B$15*$B$5)/1000000+$B$16*$B$6/1000)*$B$1</f>
        <v>0</v>
      </c>
      <c r="G44" s="4" t="n">
        <f aca="false">D44*(($B$17*$B$2+$B$18*$B$3)/1000000+($B$19*$B$4+$B$20*$B$5)/1000000+$B$21*$B$6/1000)*$B$1</f>
        <v>0</v>
      </c>
      <c r="H44" s="4" t="n">
        <f aca="false">E44+F44+G44</f>
        <v>0</v>
      </c>
    </row>
    <row r="45" customFormat="false" ht="15" hidden="false" customHeight="false" outlineLevel="0" collapsed="false">
      <c r="A45" s="0" t="n">
        <v>18</v>
      </c>
      <c r="B45" s="4" t="n">
        <f aca="false">'User Growth'!D36</f>
        <v>13.6</v>
      </c>
      <c r="C45" s="4" t="n">
        <f aca="false">'User Growth'!E36</f>
        <v>182.24</v>
      </c>
      <c r="D45" s="4" t="n">
        <f aca="false">'User Growth'!F36</f>
        <v>89.76</v>
      </c>
      <c r="E45" s="4" t="n">
        <f aca="false">B45*(($B$7*$B$2+$B$8*$B$3)/1000000+($B$9*$B$4+$B$10*$B$5)/1000000+$B$11*$B$6/1000)*$B$1</f>
        <v>0</v>
      </c>
      <c r="F45" s="4" t="n">
        <f aca="false">C45*(($B$12*$B$2+$B$13*$B$3)/1000000+($B$14*$B$4+$B$15*$B$5)/1000000+$B$16*$B$6/1000)*$B$1</f>
        <v>0</v>
      </c>
      <c r="G45" s="4" t="n">
        <f aca="false">D45*(($B$17*$B$2+$B$18*$B$3)/1000000+($B$19*$B$4+$B$20*$B$5)/1000000+$B$21*$B$6/1000)*$B$1</f>
        <v>0</v>
      </c>
      <c r="H45" s="4" t="n">
        <f aca="false">E45+F45+G45</f>
        <v>0</v>
      </c>
    </row>
    <row r="46" customFormat="false" ht="15" hidden="false" customHeight="false" outlineLevel="0" collapsed="false">
      <c r="A46" s="0" t="n">
        <v>19</v>
      </c>
      <c r="B46" s="4" t="n">
        <f aca="false">'User Growth'!D37</f>
        <v>14.85</v>
      </c>
      <c r="C46" s="4" t="n">
        <f aca="false">'User Growth'!E37</f>
        <v>198.99</v>
      </c>
      <c r="D46" s="4" t="n">
        <f aca="false">'User Growth'!F37</f>
        <v>98.01</v>
      </c>
      <c r="E46" s="4" t="n">
        <f aca="false">B46*(($B$7*$B$2+$B$8*$B$3)/1000000+($B$9*$B$4+$B$10*$B$5)/1000000+$B$11*$B$6/1000)*$B$1</f>
        <v>0</v>
      </c>
      <c r="F46" s="4" t="n">
        <f aca="false">C46*(($B$12*$B$2+$B$13*$B$3)/1000000+($B$14*$B$4+$B$15*$B$5)/1000000+$B$16*$B$6/1000)*$B$1</f>
        <v>0</v>
      </c>
      <c r="G46" s="4" t="n">
        <f aca="false">D46*(($B$17*$B$2+$B$18*$B$3)/1000000+($B$19*$B$4+$B$20*$B$5)/1000000+$B$21*$B$6/1000)*$B$1</f>
        <v>0</v>
      </c>
      <c r="H46" s="4" t="n">
        <f aca="false">E46+F46+G46</f>
        <v>0</v>
      </c>
    </row>
    <row r="47" customFormat="false" ht="15" hidden="false" customHeight="false" outlineLevel="0" collapsed="false">
      <c r="A47" s="0" t="n">
        <v>20</v>
      </c>
      <c r="B47" s="4" t="n">
        <f aca="false">'User Growth'!D38</f>
        <v>16.1</v>
      </c>
      <c r="C47" s="4" t="n">
        <f aca="false">'User Growth'!E38</f>
        <v>215.74</v>
      </c>
      <c r="D47" s="4" t="n">
        <f aca="false">'User Growth'!F38</f>
        <v>106.26</v>
      </c>
      <c r="E47" s="4" t="n">
        <f aca="false">B47*(($B$7*$B$2+$B$8*$B$3)/1000000+($B$9*$B$4+$B$10*$B$5)/1000000+$B$11*$B$6/1000)*$B$1</f>
        <v>0</v>
      </c>
      <c r="F47" s="4" t="n">
        <f aca="false">C47*(($B$12*$B$2+$B$13*$B$3)/1000000+($B$14*$B$4+$B$15*$B$5)/1000000+$B$16*$B$6/1000)*$B$1</f>
        <v>0</v>
      </c>
      <c r="G47" s="4" t="n">
        <f aca="false">D47*(($B$17*$B$2+$B$18*$B$3)/1000000+($B$19*$B$4+$B$20*$B$5)/1000000+$B$21*$B$6/1000)*$B$1</f>
        <v>0</v>
      </c>
      <c r="H47" s="4" t="n">
        <f aca="false">E47+F47+G47</f>
        <v>0</v>
      </c>
    </row>
    <row r="48" customFormat="false" ht="15" hidden="false" customHeight="false" outlineLevel="0" collapsed="false">
      <c r="A48" s="0" t="n">
        <v>21</v>
      </c>
      <c r="B48" s="4" t="n">
        <f aca="false">'User Growth'!D39</f>
        <v>17.35</v>
      </c>
      <c r="C48" s="4" t="n">
        <f aca="false">'User Growth'!E39</f>
        <v>232.49</v>
      </c>
      <c r="D48" s="4" t="n">
        <f aca="false">'User Growth'!F39</f>
        <v>114.51</v>
      </c>
      <c r="E48" s="4" t="n">
        <f aca="false">B48*(($B$7*$B$2+$B$8*$B$3)/1000000+($B$9*$B$4+$B$10*$B$5)/1000000+$B$11*$B$6/1000)*$B$1</f>
        <v>0</v>
      </c>
      <c r="F48" s="4" t="n">
        <f aca="false">C48*(($B$12*$B$2+$B$13*$B$3)/1000000+($B$14*$B$4+$B$15*$B$5)/1000000+$B$16*$B$6/1000)*$B$1</f>
        <v>0</v>
      </c>
      <c r="G48" s="4" t="n">
        <f aca="false">D48*(($B$17*$B$2+$B$18*$B$3)/1000000+($B$19*$B$4+$B$20*$B$5)/1000000+$B$21*$B$6/1000)*$B$1</f>
        <v>0</v>
      </c>
      <c r="H48" s="4" t="n">
        <f aca="false">E48+F48+G48</f>
        <v>0</v>
      </c>
    </row>
    <row r="49" customFormat="false" ht="15" hidden="false" customHeight="false" outlineLevel="0" collapsed="false">
      <c r="A49" s="0" t="n">
        <v>22</v>
      </c>
      <c r="B49" s="4" t="n">
        <f aca="false">'User Growth'!D40</f>
        <v>18.6</v>
      </c>
      <c r="C49" s="4" t="n">
        <f aca="false">'User Growth'!E40</f>
        <v>249.24</v>
      </c>
      <c r="D49" s="4" t="n">
        <f aca="false">'User Growth'!F40</f>
        <v>122.76</v>
      </c>
      <c r="E49" s="4" t="n">
        <f aca="false">B49*(($B$7*$B$2+$B$8*$B$3)/1000000+($B$9*$B$4+$B$10*$B$5)/1000000+$B$11*$B$6/1000)*$B$1</f>
        <v>0</v>
      </c>
      <c r="F49" s="4" t="n">
        <f aca="false">C49*(($B$12*$B$2+$B$13*$B$3)/1000000+($B$14*$B$4+$B$15*$B$5)/1000000+$B$16*$B$6/1000)*$B$1</f>
        <v>0</v>
      </c>
      <c r="G49" s="4" t="n">
        <f aca="false">D49*(($B$17*$B$2+$B$18*$B$3)/1000000+($B$19*$B$4+$B$20*$B$5)/1000000+$B$21*$B$6/1000)*$B$1</f>
        <v>0</v>
      </c>
      <c r="H49" s="4" t="n">
        <f aca="false">E49+F49+G49</f>
        <v>0</v>
      </c>
    </row>
    <row r="50" customFormat="false" ht="15" hidden="false" customHeight="false" outlineLevel="0" collapsed="false">
      <c r="A50" s="0" t="n">
        <v>23</v>
      </c>
      <c r="B50" s="4" t="n">
        <f aca="false">'User Growth'!D41</f>
        <v>19.85</v>
      </c>
      <c r="C50" s="4" t="n">
        <f aca="false">'User Growth'!E41</f>
        <v>265.99</v>
      </c>
      <c r="D50" s="4" t="n">
        <f aca="false">'User Growth'!F41</f>
        <v>131.01</v>
      </c>
      <c r="E50" s="4" t="n">
        <f aca="false">B50*(($B$7*$B$2+$B$8*$B$3)/1000000+($B$9*$B$4+$B$10*$B$5)/1000000+$B$11*$B$6/1000)*$B$1</f>
        <v>0</v>
      </c>
      <c r="F50" s="4" t="n">
        <f aca="false">C50*(($B$12*$B$2+$B$13*$B$3)/1000000+($B$14*$B$4+$B$15*$B$5)/1000000+$B$16*$B$6/1000)*$B$1</f>
        <v>0</v>
      </c>
      <c r="G50" s="4" t="n">
        <f aca="false">D50*(($B$17*$B$2+$B$18*$B$3)/1000000+($B$19*$B$4+$B$20*$B$5)/1000000+$B$21*$B$6/1000)*$B$1</f>
        <v>0</v>
      </c>
      <c r="H50" s="4" t="n">
        <f aca="false">E50+F50+G50</f>
        <v>0</v>
      </c>
    </row>
    <row r="51" customFormat="false" ht="15" hidden="false" customHeight="false" outlineLevel="0" collapsed="false">
      <c r="A51" s="0" t="n">
        <v>24</v>
      </c>
      <c r="B51" s="4" t="n">
        <f aca="false">'User Growth'!D42</f>
        <v>21.1</v>
      </c>
      <c r="C51" s="4" t="n">
        <f aca="false">'User Growth'!E42</f>
        <v>282.74</v>
      </c>
      <c r="D51" s="4" t="n">
        <f aca="false">'User Growth'!F42</f>
        <v>139.26</v>
      </c>
      <c r="E51" s="4" t="n">
        <f aca="false">B51*(($B$7*$B$2+$B$8*$B$3)/1000000+($B$9*$B$4+$B$10*$B$5)/1000000+$B$11*$B$6/1000)*$B$1</f>
        <v>0</v>
      </c>
      <c r="F51" s="4" t="n">
        <f aca="false">C51*(($B$12*$B$2+$B$13*$B$3)/1000000+($B$14*$B$4+$B$15*$B$5)/1000000+$B$16*$B$6/1000)*$B$1</f>
        <v>0</v>
      </c>
      <c r="G51" s="4" t="n">
        <f aca="false">D51*(($B$17*$B$2+$B$18*$B$3)/1000000+($B$19*$B$4+$B$20*$B$5)/1000000+$B$21*$B$6/1000)*$B$1</f>
        <v>0</v>
      </c>
      <c r="H51" s="4" t="n">
        <f aca="false">E51+F51+G51</f>
        <v>0</v>
      </c>
    </row>
    <row r="52" customFormat="false" ht="15" hidden="false" customHeight="false" outlineLevel="0" collapsed="false">
      <c r="A52" s="0" t="n">
        <v>25</v>
      </c>
      <c r="B52" s="4" t="n">
        <f aca="false">'User Growth'!D43</f>
        <v>26.6</v>
      </c>
      <c r="C52" s="4" t="n">
        <f aca="false">'User Growth'!E43</f>
        <v>356.44</v>
      </c>
      <c r="D52" s="4" t="n">
        <f aca="false">'User Growth'!F43</f>
        <v>175.56</v>
      </c>
      <c r="E52" s="4" t="n">
        <f aca="false">B52*(($B$7*$B$2+$B$8*$B$3)/1000000+($B$9*$B$4+$B$10*$B$5)/1000000+$B$11*$B$6/1000)*$B$1</f>
        <v>0</v>
      </c>
      <c r="F52" s="4" t="n">
        <f aca="false">C52*(($B$12*$B$2+$B$13*$B$3)/1000000+($B$14*$B$4+$B$15*$B$5)/1000000+$B$16*$B$6/1000)*$B$1</f>
        <v>0</v>
      </c>
      <c r="G52" s="4" t="n">
        <f aca="false">D52*(($B$17*$B$2+$B$18*$B$3)/1000000+($B$19*$B$4+$B$20*$B$5)/1000000+$B$21*$B$6/1000)*$B$1</f>
        <v>0</v>
      </c>
      <c r="H52" s="4" t="n">
        <f aca="false">E52+F52+G52</f>
        <v>0</v>
      </c>
    </row>
    <row r="53" customFormat="false" ht="15" hidden="false" customHeight="false" outlineLevel="0" collapsed="false">
      <c r="A53" s="0" t="n">
        <v>26</v>
      </c>
      <c r="B53" s="4" t="n">
        <f aca="false">'User Growth'!D44</f>
        <v>32.1</v>
      </c>
      <c r="C53" s="4" t="n">
        <f aca="false">'User Growth'!E44</f>
        <v>430.14</v>
      </c>
      <c r="D53" s="4" t="n">
        <f aca="false">'User Growth'!F44</f>
        <v>211.86</v>
      </c>
      <c r="E53" s="4" t="n">
        <f aca="false">B53*(($B$7*$B$2+$B$8*$B$3)/1000000+($B$9*$B$4+$B$10*$B$5)/1000000+$B$11*$B$6/1000)*$B$1</f>
        <v>0</v>
      </c>
      <c r="F53" s="4" t="n">
        <f aca="false">C53*(($B$12*$B$2+$B$13*$B$3)/1000000+($B$14*$B$4+$B$15*$B$5)/1000000+$B$16*$B$6/1000)*$B$1</f>
        <v>0</v>
      </c>
      <c r="G53" s="4" t="n">
        <f aca="false">D53*(($B$17*$B$2+$B$18*$B$3)/1000000+($B$19*$B$4+$B$20*$B$5)/1000000+$B$21*$B$6/1000)*$B$1</f>
        <v>0</v>
      </c>
      <c r="H53" s="4" t="n">
        <f aca="false">E53+F53+G53</f>
        <v>0</v>
      </c>
    </row>
    <row r="54" customFormat="false" ht="15" hidden="false" customHeight="false" outlineLevel="0" collapsed="false">
      <c r="A54" s="0" t="n">
        <v>27</v>
      </c>
      <c r="B54" s="4" t="n">
        <f aca="false">'User Growth'!D45</f>
        <v>37.6</v>
      </c>
      <c r="C54" s="4" t="n">
        <f aca="false">'User Growth'!E45</f>
        <v>503.84</v>
      </c>
      <c r="D54" s="4" t="n">
        <f aca="false">'User Growth'!F45</f>
        <v>248.16</v>
      </c>
      <c r="E54" s="4" t="n">
        <f aca="false">B54*(($B$7*$B$2+$B$8*$B$3)/1000000+($B$9*$B$4+$B$10*$B$5)/1000000+$B$11*$B$6/1000)*$B$1</f>
        <v>0</v>
      </c>
      <c r="F54" s="4" t="n">
        <f aca="false">C54*(($B$12*$B$2+$B$13*$B$3)/1000000+($B$14*$B$4+$B$15*$B$5)/1000000+$B$16*$B$6/1000)*$B$1</f>
        <v>0</v>
      </c>
      <c r="G54" s="4" t="n">
        <f aca="false">D54*(($B$17*$B$2+$B$18*$B$3)/1000000+($B$19*$B$4+$B$20*$B$5)/1000000+$B$21*$B$6/1000)*$B$1</f>
        <v>0</v>
      </c>
      <c r="H54" s="4" t="n">
        <f aca="false">E54+F54+G54</f>
        <v>0</v>
      </c>
    </row>
    <row r="55" customFormat="false" ht="15" hidden="false" customHeight="false" outlineLevel="0" collapsed="false">
      <c r="A55" s="0" t="n">
        <v>28</v>
      </c>
      <c r="B55" s="4" t="n">
        <f aca="false">'User Growth'!D46</f>
        <v>43.1</v>
      </c>
      <c r="C55" s="4" t="n">
        <f aca="false">'User Growth'!E46</f>
        <v>577.54</v>
      </c>
      <c r="D55" s="4" t="n">
        <f aca="false">'User Growth'!F46</f>
        <v>284.46</v>
      </c>
      <c r="E55" s="4" t="n">
        <f aca="false">B55*(($B$7*$B$2+$B$8*$B$3)/1000000+($B$9*$B$4+$B$10*$B$5)/1000000+$B$11*$B$6/1000)*$B$1</f>
        <v>0</v>
      </c>
      <c r="F55" s="4" t="n">
        <f aca="false">C55*(($B$12*$B$2+$B$13*$B$3)/1000000+($B$14*$B$4+$B$15*$B$5)/1000000+$B$16*$B$6/1000)*$B$1</f>
        <v>0</v>
      </c>
      <c r="G55" s="4" t="n">
        <f aca="false">D55*(($B$17*$B$2+$B$18*$B$3)/1000000+($B$19*$B$4+$B$20*$B$5)/1000000+$B$21*$B$6/1000)*$B$1</f>
        <v>0</v>
      </c>
      <c r="H55" s="4" t="n">
        <f aca="false">E55+F55+G55</f>
        <v>0</v>
      </c>
    </row>
    <row r="56" customFormat="false" ht="15" hidden="false" customHeight="false" outlineLevel="0" collapsed="false">
      <c r="A56" s="0" t="n">
        <v>29</v>
      </c>
      <c r="B56" s="4" t="n">
        <f aca="false">'User Growth'!D47</f>
        <v>48.6</v>
      </c>
      <c r="C56" s="4" t="n">
        <f aca="false">'User Growth'!E47</f>
        <v>651.24</v>
      </c>
      <c r="D56" s="4" t="n">
        <f aca="false">'User Growth'!F47</f>
        <v>320.76</v>
      </c>
      <c r="E56" s="4" t="n">
        <f aca="false">B56*(($B$7*$B$2+$B$8*$B$3)/1000000+($B$9*$B$4+$B$10*$B$5)/1000000+$B$11*$B$6/1000)*$B$1</f>
        <v>0</v>
      </c>
      <c r="F56" s="4" t="n">
        <f aca="false">C56*(($B$12*$B$2+$B$13*$B$3)/1000000+($B$14*$B$4+$B$15*$B$5)/1000000+$B$16*$B$6/1000)*$B$1</f>
        <v>0</v>
      </c>
      <c r="G56" s="4" t="n">
        <f aca="false">D56*(($B$17*$B$2+$B$18*$B$3)/1000000+($B$19*$B$4+$B$20*$B$5)/1000000+$B$21*$B$6/1000)*$B$1</f>
        <v>0</v>
      </c>
      <c r="H56" s="4" t="n">
        <f aca="false">E56+F56+G56</f>
        <v>0</v>
      </c>
    </row>
    <row r="57" customFormat="false" ht="15" hidden="false" customHeight="false" outlineLevel="0" collapsed="false">
      <c r="A57" s="0" t="n">
        <v>30</v>
      </c>
      <c r="B57" s="4" t="n">
        <f aca="false">'User Growth'!D48</f>
        <v>54.1</v>
      </c>
      <c r="C57" s="4" t="n">
        <f aca="false">'User Growth'!E48</f>
        <v>724.94</v>
      </c>
      <c r="D57" s="4" t="n">
        <f aca="false">'User Growth'!F48</f>
        <v>357.06</v>
      </c>
      <c r="E57" s="4" t="n">
        <f aca="false">B57*(($B$7*$B$2+$B$8*$B$3)/1000000+($B$9*$B$4+$B$10*$B$5)/1000000+$B$11*$B$6/1000)*$B$1</f>
        <v>0</v>
      </c>
      <c r="F57" s="4" t="n">
        <f aca="false">C57*(($B$12*$B$2+$B$13*$B$3)/1000000+($B$14*$B$4+$B$15*$B$5)/1000000+$B$16*$B$6/1000)*$B$1</f>
        <v>0</v>
      </c>
      <c r="G57" s="4" t="n">
        <f aca="false">D57*(($B$17*$B$2+$B$18*$B$3)/1000000+($B$19*$B$4+$B$20*$B$5)/1000000+$B$21*$B$6/1000)*$B$1</f>
        <v>0</v>
      </c>
      <c r="H57" s="4" t="n">
        <f aca="false">E57+F57+G57</f>
        <v>0</v>
      </c>
    </row>
    <row r="58" customFormat="false" ht="15" hidden="false" customHeight="false" outlineLevel="0" collapsed="false">
      <c r="A58" s="0" t="n">
        <v>31</v>
      </c>
      <c r="B58" s="4" t="n">
        <f aca="false">'User Growth'!D49</f>
        <v>59.6</v>
      </c>
      <c r="C58" s="4" t="n">
        <f aca="false">'User Growth'!E49</f>
        <v>798.64</v>
      </c>
      <c r="D58" s="4" t="n">
        <f aca="false">'User Growth'!F49</f>
        <v>393.36</v>
      </c>
      <c r="E58" s="4" t="n">
        <f aca="false">B58*(($B$7*$B$2+$B$8*$B$3)/1000000+($B$9*$B$4+$B$10*$B$5)/1000000+$B$11*$B$6/1000)*$B$1</f>
        <v>0</v>
      </c>
      <c r="F58" s="4" t="n">
        <f aca="false">C58*(($B$12*$B$2+$B$13*$B$3)/1000000+($B$14*$B$4+$B$15*$B$5)/1000000+$B$16*$B$6/1000)*$B$1</f>
        <v>0</v>
      </c>
      <c r="G58" s="4" t="n">
        <f aca="false">D58*(($B$17*$B$2+$B$18*$B$3)/1000000+($B$19*$B$4+$B$20*$B$5)/1000000+$B$21*$B$6/1000)*$B$1</f>
        <v>0</v>
      </c>
      <c r="H58" s="4" t="n">
        <f aca="false">E58+F58+G58</f>
        <v>0</v>
      </c>
    </row>
    <row r="59" customFormat="false" ht="15" hidden="false" customHeight="false" outlineLevel="0" collapsed="false">
      <c r="A59" s="0" t="n">
        <v>32</v>
      </c>
      <c r="B59" s="4" t="n">
        <f aca="false">'User Growth'!D50</f>
        <v>65.1</v>
      </c>
      <c r="C59" s="4" t="n">
        <f aca="false">'User Growth'!E50</f>
        <v>872.34</v>
      </c>
      <c r="D59" s="4" t="n">
        <f aca="false">'User Growth'!F50</f>
        <v>429.66</v>
      </c>
      <c r="E59" s="4" t="n">
        <f aca="false">B59*(($B$7*$B$2+$B$8*$B$3)/1000000+($B$9*$B$4+$B$10*$B$5)/1000000+$B$11*$B$6/1000)*$B$1</f>
        <v>0</v>
      </c>
      <c r="F59" s="4" t="n">
        <f aca="false">C59*(($B$12*$B$2+$B$13*$B$3)/1000000+($B$14*$B$4+$B$15*$B$5)/1000000+$B$16*$B$6/1000)*$B$1</f>
        <v>0</v>
      </c>
      <c r="G59" s="4" t="n">
        <f aca="false">D59*(($B$17*$B$2+$B$18*$B$3)/1000000+($B$19*$B$4+$B$20*$B$5)/1000000+$B$21*$B$6/1000)*$B$1</f>
        <v>0</v>
      </c>
      <c r="H59" s="4" t="n">
        <f aca="false">E59+F59+G59</f>
        <v>0</v>
      </c>
    </row>
    <row r="60" customFormat="false" ht="15" hidden="false" customHeight="false" outlineLevel="0" collapsed="false">
      <c r="A60" s="0" t="n">
        <v>33</v>
      </c>
      <c r="B60" s="4" t="n">
        <f aca="false">'User Growth'!D51</f>
        <v>70.6</v>
      </c>
      <c r="C60" s="4" t="n">
        <f aca="false">'User Growth'!E51</f>
        <v>946.04</v>
      </c>
      <c r="D60" s="4" t="n">
        <f aca="false">'User Growth'!F51</f>
        <v>465.96</v>
      </c>
      <c r="E60" s="4" t="n">
        <f aca="false">B60*(($B$7*$B$2+$B$8*$B$3)/1000000+($B$9*$B$4+$B$10*$B$5)/1000000+$B$11*$B$6/1000)*$B$1</f>
        <v>0</v>
      </c>
      <c r="F60" s="4" t="n">
        <f aca="false">C60*(($B$12*$B$2+$B$13*$B$3)/1000000+($B$14*$B$4+$B$15*$B$5)/1000000+$B$16*$B$6/1000)*$B$1</f>
        <v>0</v>
      </c>
      <c r="G60" s="4" t="n">
        <f aca="false">D60*(($B$17*$B$2+$B$18*$B$3)/1000000+($B$19*$B$4+$B$20*$B$5)/1000000+$B$21*$B$6/1000)*$B$1</f>
        <v>0</v>
      </c>
      <c r="H60" s="4" t="n">
        <f aca="false">E60+F60+G60</f>
        <v>0</v>
      </c>
    </row>
    <row r="61" customFormat="false" ht="15" hidden="false" customHeight="false" outlineLevel="0" collapsed="false">
      <c r="A61" s="0" t="n">
        <v>34</v>
      </c>
      <c r="B61" s="4" t="n">
        <f aca="false">'User Growth'!D52</f>
        <v>76.1</v>
      </c>
      <c r="C61" s="4" t="n">
        <f aca="false">'User Growth'!E52</f>
        <v>1019.74</v>
      </c>
      <c r="D61" s="4" t="n">
        <f aca="false">'User Growth'!F52</f>
        <v>502.26</v>
      </c>
      <c r="E61" s="4" t="n">
        <f aca="false">B61*(($B$7*$B$2+$B$8*$B$3)/1000000+($B$9*$B$4+$B$10*$B$5)/1000000+$B$11*$B$6/1000)*$B$1</f>
        <v>0</v>
      </c>
      <c r="F61" s="4" t="n">
        <f aca="false">C61*(($B$12*$B$2+$B$13*$B$3)/1000000+($B$14*$B$4+$B$15*$B$5)/1000000+$B$16*$B$6/1000)*$B$1</f>
        <v>0</v>
      </c>
      <c r="G61" s="4" t="n">
        <f aca="false">D61*(($B$17*$B$2+$B$18*$B$3)/1000000+($B$19*$B$4+$B$20*$B$5)/1000000+$B$21*$B$6/1000)*$B$1</f>
        <v>0</v>
      </c>
      <c r="H61" s="4" t="n">
        <f aca="false">E61+F61+G61</f>
        <v>0</v>
      </c>
    </row>
    <row r="62" customFormat="false" ht="15" hidden="false" customHeight="false" outlineLevel="0" collapsed="false">
      <c r="A62" s="0" t="n">
        <v>35</v>
      </c>
      <c r="B62" s="4" t="n">
        <f aca="false">'User Growth'!D53</f>
        <v>81.6</v>
      </c>
      <c r="C62" s="4" t="n">
        <f aca="false">'User Growth'!E53</f>
        <v>1093.44</v>
      </c>
      <c r="D62" s="4" t="n">
        <f aca="false">'User Growth'!F53</f>
        <v>538.56</v>
      </c>
      <c r="E62" s="4" t="n">
        <f aca="false">B62*(($B$7*$B$2+$B$8*$B$3)/1000000+($B$9*$B$4+$B$10*$B$5)/1000000+$B$11*$B$6/1000)*$B$1</f>
        <v>0</v>
      </c>
      <c r="F62" s="4" t="n">
        <f aca="false">C62*(($B$12*$B$2+$B$13*$B$3)/1000000+($B$14*$B$4+$B$15*$B$5)/1000000+$B$16*$B$6/1000)*$B$1</f>
        <v>0</v>
      </c>
      <c r="G62" s="4" t="n">
        <f aca="false">D62*(($B$17*$B$2+$B$18*$B$3)/1000000+($B$19*$B$4+$B$20*$B$5)/1000000+$B$21*$B$6/1000)*$B$1</f>
        <v>0</v>
      </c>
      <c r="H62" s="4" t="n">
        <f aca="false">E62+F62+G62</f>
        <v>0</v>
      </c>
    </row>
    <row r="63" customFormat="false" ht="15" hidden="false" customHeight="false" outlineLevel="0" collapsed="false">
      <c r="A63" s="0" t="n">
        <v>36</v>
      </c>
      <c r="B63" s="4" t="n">
        <f aca="false">'User Growth'!D54</f>
        <v>87.1</v>
      </c>
      <c r="C63" s="4" t="n">
        <f aca="false">'User Growth'!E54</f>
        <v>1167.14</v>
      </c>
      <c r="D63" s="4" t="n">
        <f aca="false">'User Growth'!F54</f>
        <v>574.86</v>
      </c>
      <c r="E63" s="4" t="n">
        <f aca="false">B63*(($B$7*$B$2+$B$8*$B$3)/1000000+($B$9*$B$4+$B$10*$B$5)/1000000+$B$11*$B$6/1000)*$B$1</f>
        <v>0</v>
      </c>
      <c r="F63" s="4" t="n">
        <f aca="false">C63*(($B$12*$B$2+$B$13*$B$3)/1000000+($B$14*$B$4+$B$15*$B$5)/1000000+$B$16*$B$6/1000)*$B$1</f>
        <v>0</v>
      </c>
      <c r="G63" s="4" t="n">
        <f aca="false">D63*(($B$17*$B$2+$B$18*$B$3)/1000000+($B$19*$B$4+$B$20*$B$5)/1000000+$B$21*$B$6/1000)*$B$1</f>
        <v>0</v>
      </c>
      <c r="H63" s="4" t="n">
        <f aca="false">E63+F63+G63</f>
        <v>0</v>
      </c>
    </row>
    <row r="65" customFormat="false" ht="15" hidden="false" customHeight="true" outlineLevel="0" collapsed="false">
      <c r="A65" s="2" t="s">
        <v>42</v>
      </c>
      <c r="B65" s="2"/>
    </row>
    <row r="66" customFormat="false" ht="26.85" hidden="false" customHeight="false" outlineLevel="0" collapsed="false">
      <c r="A66" s="3" t="s">
        <v>26</v>
      </c>
      <c r="B66" s="3" t="s">
        <v>98</v>
      </c>
    </row>
    <row r="67" customFormat="false" ht="15" hidden="false" customHeight="false" outlineLevel="0" collapsed="false">
      <c r="A67" s="0" t="n">
        <v>1</v>
      </c>
      <c r="B67" s="4" t="n">
        <f aca="false">SUM(H28:H39)</f>
        <v>0</v>
      </c>
    </row>
    <row r="68" customFormat="false" ht="15" hidden="false" customHeight="false" outlineLevel="0" collapsed="false">
      <c r="A68" s="0" t="n">
        <v>2</v>
      </c>
      <c r="B68" s="4" t="n">
        <f aca="false">SUM(H40:H51)</f>
        <v>0</v>
      </c>
    </row>
    <row r="69" customFormat="false" ht="15" hidden="false" customHeight="false" outlineLevel="0" collapsed="false">
      <c r="A69" s="0" t="n">
        <v>3</v>
      </c>
      <c r="B69" s="4" t="n">
        <f aca="false">SUM(H52:H63)</f>
        <v>0</v>
      </c>
    </row>
  </sheetData>
  <mergeCells count="3">
    <mergeCell ref="A1:O1"/>
    <mergeCell ref="A3:B3"/>
    <mergeCell ref="A65:B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24.7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3"/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0" t="s">
        <v>100</v>
      </c>
    </row>
    <row r="5" customFormat="false" ht="15" hidden="false" customHeight="false" outlineLevel="0" collapsed="false">
      <c r="A5" s="0" t="s">
        <v>101</v>
      </c>
      <c r="B5" s="4" t="n">
        <f aca="false">'Revenue Model'!B51</f>
        <v>17509.44</v>
      </c>
      <c r="C5" s="4" t="n">
        <f aca="false">'Revenue Model'!B52</f>
        <v>1358772</v>
      </c>
      <c r="D5" s="4" t="n">
        <f aca="false">'Revenue Model'!B53</f>
        <v>5430312</v>
      </c>
    </row>
    <row r="6" customFormat="false" ht="15" hidden="false" customHeight="false" outlineLevel="0" collapsed="false">
      <c r="A6" s="0" t="s">
        <v>102</v>
      </c>
      <c r="B6" s="4" t="n">
        <f aca="false">-'Revenue Model'!C51</f>
        <v>-792.8304</v>
      </c>
      <c r="C6" s="4" t="n">
        <f aca="false">-'Revenue Model'!C52</f>
        <v>-47737.02</v>
      </c>
      <c r="D6" s="4" t="n">
        <f aca="false">-'Revenue Model'!C53</f>
        <v>-190240.92</v>
      </c>
    </row>
    <row r="7" customFormat="false" ht="15" hidden="false" customHeight="false" outlineLevel="0" collapsed="false">
      <c r="A7" s="11" t="s">
        <v>103</v>
      </c>
      <c r="B7" s="4" t="n">
        <f aca="false">B5-B6</f>
        <v>18302.2704</v>
      </c>
      <c r="C7" s="4" t="n">
        <f aca="false">C5-C6</f>
        <v>1406509.02</v>
      </c>
      <c r="D7" s="4" t="n">
        <f aca="false">D5-D6</f>
        <v>5620552.92</v>
      </c>
    </row>
    <row r="9" customFormat="false" ht="15" hidden="false" customHeight="false" outlineLevel="0" collapsed="false">
      <c r="A9" s="0" t="s">
        <v>104</v>
      </c>
    </row>
    <row r="10" customFormat="false" ht="15" hidden="false" customHeight="false" outlineLevel="0" collapsed="false">
      <c r="A10" s="0" t="s">
        <v>105</v>
      </c>
      <c r="B10" s="4" t="n">
        <f aca="false">'OpEx Variable'!B67</f>
        <v>0</v>
      </c>
      <c r="C10" s="4" t="n">
        <f aca="false">'OpEx Variable'!B68</f>
        <v>0</v>
      </c>
      <c r="D10" s="4" t="n">
        <f aca="false">'OpEx Variable'!B69</f>
        <v>0</v>
      </c>
    </row>
    <row r="11" customFormat="false" ht="15" hidden="false" customHeight="false" outlineLevel="0" collapsed="false">
      <c r="A11" s="0" t="s">
        <v>106</v>
      </c>
      <c r="B11" s="4" t="n">
        <f aca="false">'OpEx Fixed'!D4</f>
        <v>17160</v>
      </c>
      <c r="C11" s="4" t="n">
        <f aca="false">'OpEx Fixed'!E4</f>
        <v>17160</v>
      </c>
      <c r="D11" s="4" t="n">
        <f aca="false">'OpEx Fixed'!F4</f>
        <v>17160</v>
      </c>
    </row>
    <row r="12" customFormat="false" ht="15" hidden="false" customHeight="false" outlineLevel="0" collapsed="false">
      <c r="A12" s="0" t="s">
        <v>107</v>
      </c>
      <c r="B12" s="4" t="n">
        <f aca="false">B9+B10</f>
        <v>0</v>
      </c>
      <c r="C12" s="4" t="n">
        <f aca="false">C9+C10</f>
        <v>0</v>
      </c>
      <c r="D12" s="4" t="n">
        <f aca="false">D9+D10</f>
        <v>0</v>
      </c>
    </row>
    <row r="14" customFormat="false" ht="15" hidden="false" customHeight="false" outlineLevel="0" collapsed="false">
      <c r="A14" s="11" t="s">
        <v>108</v>
      </c>
      <c r="B14" s="4" t="n">
        <f aca="false">B7-B11</f>
        <v>1142.2704</v>
      </c>
      <c r="C14" s="4" t="n">
        <f aca="false">C7-C11</f>
        <v>1389349.02</v>
      </c>
      <c r="D14" s="4" t="n">
        <f aca="false">D7-D11</f>
        <v>5603392.92</v>
      </c>
    </row>
    <row r="15" customFormat="false" ht="15" hidden="false" customHeight="false" outlineLevel="0" collapsed="false">
      <c r="A15" s="0" t="s">
        <v>109</v>
      </c>
      <c r="B15" s="4" t="n">
        <f aca="false">IF(B7&gt;0,B12/B7,0)</f>
        <v>0</v>
      </c>
      <c r="C15" s="4" t="n">
        <f aca="false">IF(C7&gt;0,C12/C7,0)</f>
        <v>0</v>
      </c>
      <c r="D15" s="4" t="n">
        <f aca="false">IF(D7&gt;0,D12/D7,0)</f>
        <v>0</v>
      </c>
    </row>
    <row r="17" customFormat="false" ht="15" hidden="false" customHeight="false" outlineLevel="0" collapsed="false">
      <c r="A17" s="0" t="s">
        <v>110</v>
      </c>
    </row>
    <row r="18" customFormat="false" ht="15" hidden="false" customHeight="false" outlineLevel="0" collapsed="false">
      <c r="A18" s="0" t="s">
        <v>111</v>
      </c>
      <c r="B18" s="4" t="n">
        <f aca="false">CapEx!B12</f>
        <v>62150</v>
      </c>
    </row>
    <row r="19" customFormat="false" ht="15" hidden="false" customHeight="false" outlineLevel="0" collapsed="false">
      <c r="A19" s="11" t="s">
        <v>112</v>
      </c>
      <c r="B19" s="4" t="n">
        <f aca="false">B12-B17</f>
        <v>0</v>
      </c>
      <c r="C19" s="4" t="n">
        <f aca="false">C12</f>
        <v>0</v>
      </c>
      <c r="D19" s="4" t="n">
        <f aca="false">D12</f>
        <v>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16"/>
  </cols>
  <sheetData>
    <row r="1" customFormat="false" ht="24.7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3" t="s">
        <v>25</v>
      </c>
      <c r="B3" s="3" t="s">
        <v>114</v>
      </c>
      <c r="C3" s="3" t="s">
        <v>115</v>
      </c>
      <c r="D3" s="3" t="s">
        <v>116</v>
      </c>
      <c r="E3" s="3" t="s">
        <v>117</v>
      </c>
    </row>
    <row r="4" customFormat="false" ht="15" hidden="false" customHeight="false" outlineLevel="0" collapsed="false">
      <c r="A4" s="0" t="n">
        <v>1</v>
      </c>
      <c r="B4" s="4" t="n">
        <f aca="false">'Revenue Model'!H12</f>
        <v>215.828</v>
      </c>
      <c r="C4" s="4" t="n">
        <f aca="false">CapEx!B12+('OpEx Fixed'!D4)+('OpEx Variable'!H28)</f>
        <v>79310</v>
      </c>
      <c r="D4" s="4" t="n">
        <f aca="false">B4-C4</f>
        <v>-79094.172</v>
      </c>
      <c r="E4" s="0" t="str">
        <f aca="false">IF(D4&gt;=0,"YES","NO")</f>
        <v>NO</v>
      </c>
    </row>
    <row r="5" customFormat="false" ht="15" hidden="false" customHeight="false" outlineLevel="0" collapsed="false">
      <c r="A5" s="0" t="n">
        <v>2</v>
      </c>
      <c r="B5" s="4" t="n">
        <f aca="false">B4+'Revenue Model'!H13</f>
        <v>616.3184</v>
      </c>
      <c r="C5" s="4" t="n">
        <f aca="false">C4+('OpEx Fixed'!D4)+('OpEx Variable'!H29)</f>
        <v>96470</v>
      </c>
      <c r="D5" s="4" t="n">
        <f aca="false">B5-C5</f>
        <v>-95853.6816</v>
      </c>
      <c r="E5" s="0" t="str">
        <f aca="false">IF(D5&gt;=0,"YES","NO")</f>
        <v>NO</v>
      </c>
    </row>
    <row r="6" customFormat="false" ht="15" hidden="false" customHeight="false" outlineLevel="0" collapsed="false">
      <c r="A6" s="0" t="n">
        <v>3</v>
      </c>
      <c r="B6" s="4" t="n">
        <f aca="false">B5+'Revenue Model'!H14</f>
        <v>1201.4712</v>
      </c>
      <c r="C6" s="4" t="n">
        <f aca="false">C5+('OpEx Fixed'!D4)+('OpEx Variable'!H30)</f>
        <v>113630</v>
      </c>
      <c r="D6" s="4" t="n">
        <f aca="false">B6-C6</f>
        <v>-112428.5288</v>
      </c>
      <c r="E6" s="0" t="str">
        <f aca="false">IF(D6&gt;=0,"YES","NO")</f>
        <v>NO</v>
      </c>
    </row>
    <row r="7" customFormat="false" ht="15" hidden="false" customHeight="false" outlineLevel="0" collapsed="false">
      <c r="A7" s="0" t="n">
        <v>4</v>
      </c>
      <c r="B7" s="4" t="n">
        <f aca="false">B6+'Revenue Model'!H15</f>
        <v>1971.2864</v>
      </c>
      <c r="C7" s="4" t="n">
        <f aca="false">C6+('OpEx Fixed'!D4)+('OpEx Variable'!H31)</f>
        <v>130790</v>
      </c>
      <c r="D7" s="4" t="n">
        <f aca="false">B7-C7</f>
        <v>-128818.7136</v>
      </c>
      <c r="E7" s="0" t="str">
        <f aca="false">IF(D7&gt;=0,"YES","NO")</f>
        <v>NO</v>
      </c>
    </row>
    <row r="8" customFormat="false" ht="15" hidden="false" customHeight="false" outlineLevel="0" collapsed="false">
      <c r="A8" s="0" t="n">
        <v>5</v>
      </c>
      <c r="B8" s="4" t="n">
        <f aca="false">B7+'Revenue Model'!H16</f>
        <v>2925.764</v>
      </c>
      <c r="C8" s="4" t="n">
        <f aca="false">C7+('OpEx Fixed'!D4)+('OpEx Variable'!H32)</f>
        <v>147950</v>
      </c>
      <c r="D8" s="4" t="n">
        <f aca="false">B8-C8</f>
        <v>-145024.236</v>
      </c>
      <c r="E8" s="0" t="str">
        <f aca="false">IF(D8&gt;=0,"YES","NO")</f>
        <v>NO</v>
      </c>
    </row>
    <row r="9" customFormat="false" ht="15" hidden="false" customHeight="false" outlineLevel="0" collapsed="false">
      <c r="A9" s="0" t="n">
        <v>6</v>
      </c>
      <c r="B9" s="4" t="n">
        <f aca="false">B8+'Revenue Model'!H17</f>
        <v>4064.904</v>
      </c>
      <c r="C9" s="4" t="n">
        <f aca="false">C8+('OpEx Fixed'!D4)+('OpEx Variable'!H33)</f>
        <v>165110</v>
      </c>
      <c r="D9" s="4" t="n">
        <f aca="false">B9-C9</f>
        <v>-161045.096</v>
      </c>
      <c r="E9" s="0" t="str">
        <f aca="false">IF(D9&gt;=0,"YES","NO")</f>
        <v>NO</v>
      </c>
    </row>
    <row r="10" customFormat="false" ht="15" hidden="false" customHeight="false" outlineLevel="0" collapsed="false">
      <c r="A10" s="0" t="n">
        <v>7</v>
      </c>
      <c r="B10" s="4" t="n">
        <f aca="false">B9+'Revenue Model'!H18</f>
        <v>5481.0376</v>
      </c>
      <c r="C10" s="4" t="n">
        <f aca="false">C9+('OpEx Fixed'!D4)+('OpEx Variable'!H34)</f>
        <v>182270</v>
      </c>
      <c r="D10" s="4" t="n">
        <f aca="false">B10-C10</f>
        <v>-176788.9624</v>
      </c>
      <c r="E10" s="0" t="str">
        <f aca="false">IF(D10&gt;=0,"YES","NO")</f>
        <v>NO</v>
      </c>
    </row>
    <row r="11" customFormat="false" ht="15" hidden="false" customHeight="false" outlineLevel="0" collapsed="false">
      <c r="A11" s="0" t="n">
        <v>8</v>
      </c>
      <c r="B11" s="4" t="n">
        <f aca="false">B10+'Revenue Model'!H19</f>
        <v>7174.1648</v>
      </c>
      <c r="C11" s="4" t="n">
        <f aca="false">C10+('OpEx Fixed'!D4)+('OpEx Variable'!H35)</f>
        <v>199430</v>
      </c>
      <c r="D11" s="4" t="n">
        <f aca="false">B11-C11</f>
        <v>-192255.8352</v>
      </c>
      <c r="E11" s="0" t="str">
        <f aca="false">IF(D11&gt;=0,"YES","NO")</f>
        <v>NO</v>
      </c>
    </row>
    <row r="12" customFormat="false" ht="15" hidden="false" customHeight="false" outlineLevel="0" collapsed="false">
      <c r="A12" s="0" t="n">
        <v>9</v>
      </c>
      <c r="B12" s="4" t="n">
        <f aca="false">B11+'Revenue Model'!H20</f>
        <v>9144.2856</v>
      </c>
      <c r="C12" s="4" t="n">
        <f aca="false">C11+('OpEx Fixed'!D4)+('OpEx Variable'!H36)</f>
        <v>216590</v>
      </c>
      <c r="D12" s="4" t="n">
        <f aca="false">B12-C12</f>
        <v>-207445.7144</v>
      </c>
      <c r="E12" s="0" t="str">
        <f aca="false">IF(D12&gt;=0,"YES","NO")</f>
        <v>NO</v>
      </c>
    </row>
    <row r="13" customFormat="false" ht="15" hidden="false" customHeight="false" outlineLevel="0" collapsed="false">
      <c r="A13" s="0" t="n">
        <v>10</v>
      </c>
      <c r="B13" s="4" t="n">
        <f aca="false">B12+'Revenue Model'!H21</f>
        <v>11391.4</v>
      </c>
      <c r="C13" s="4" t="n">
        <f aca="false">C12+('OpEx Fixed'!D4)+('OpEx Variable'!H37)</f>
        <v>233750</v>
      </c>
      <c r="D13" s="4" t="n">
        <f aca="false">B13-C13</f>
        <v>-222358.6</v>
      </c>
      <c r="E13" s="0" t="str">
        <f aca="false">IF(D13&gt;=0,"YES","NO")</f>
        <v>NO</v>
      </c>
    </row>
    <row r="14" customFormat="false" ht="15" hidden="false" customHeight="false" outlineLevel="0" collapsed="false">
      <c r="A14" s="0" t="n">
        <v>11</v>
      </c>
      <c r="B14" s="4" t="n">
        <f aca="false">B13+'Revenue Model'!H22</f>
        <v>13915.508</v>
      </c>
      <c r="C14" s="4" t="n">
        <f aca="false">C13+('OpEx Fixed'!D4)+('OpEx Variable'!H38)</f>
        <v>250910</v>
      </c>
      <c r="D14" s="4" t="n">
        <f aca="false">B14-C14</f>
        <v>-236994.492</v>
      </c>
      <c r="E14" s="0" t="str">
        <f aca="false">IF(D14&gt;=0,"YES","NO")</f>
        <v>NO</v>
      </c>
    </row>
    <row r="15" customFormat="false" ht="15" hidden="false" customHeight="false" outlineLevel="0" collapsed="false">
      <c r="A15" s="0" t="n">
        <v>12</v>
      </c>
      <c r="B15" s="4" t="n">
        <f aca="false">B14+'Revenue Model'!H23</f>
        <v>16716.6096</v>
      </c>
      <c r="C15" s="4" t="n">
        <f aca="false">C14+('OpEx Fixed'!D4)+('OpEx Variable'!H39)</f>
        <v>268070</v>
      </c>
      <c r="D15" s="4" t="n">
        <f aca="false">B15-C15</f>
        <v>-251353.3904</v>
      </c>
      <c r="E15" s="0" t="str">
        <f aca="false">IF(D15&gt;=0,"YES","NO")</f>
        <v>NO</v>
      </c>
    </row>
    <row r="16" customFormat="false" ht="15" hidden="false" customHeight="false" outlineLevel="0" collapsed="false">
      <c r="A16" s="0" t="n">
        <v>13</v>
      </c>
      <c r="B16" s="4" t="n">
        <f aca="false">B15+'Revenue Model'!H24</f>
        <v>73159.8996</v>
      </c>
      <c r="C16" s="4" t="n">
        <f aca="false">C15+('OpEx Fixed'!D4)+('OpEx Variable'!H40)</f>
        <v>285230</v>
      </c>
      <c r="D16" s="4" t="n">
        <f aca="false">B16-C16</f>
        <v>-212070.1004</v>
      </c>
      <c r="E16" s="0" t="str">
        <f aca="false">IF(D16&gt;=0,"YES","NO")</f>
        <v>NO</v>
      </c>
    </row>
    <row r="17" customFormat="false" ht="15" hidden="false" customHeight="false" outlineLevel="0" collapsed="false">
      <c r="A17" s="0" t="n">
        <v>14</v>
      </c>
      <c r="B17" s="4" t="n">
        <f aca="false">B16+'Revenue Model'!H25</f>
        <v>139204.9396</v>
      </c>
      <c r="C17" s="4" t="n">
        <f aca="false">C16+('OpEx Fixed'!D4)+('OpEx Variable'!H41)</f>
        <v>302390</v>
      </c>
      <c r="D17" s="4" t="n">
        <f aca="false">B17-C17</f>
        <v>-163185.0604</v>
      </c>
      <c r="E17" s="0" t="str">
        <f aca="false">IF(D17&gt;=0,"YES","NO")</f>
        <v>NO</v>
      </c>
    </row>
    <row r="18" customFormat="false" ht="15" hidden="false" customHeight="false" outlineLevel="0" collapsed="false">
      <c r="A18" s="0" t="n">
        <v>15</v>
      </c>
      <c r="B18" s="4" t="n">
        <f aca="false">B17+'Revenue Model'!H26</f>
        <v>214851.7296</v>
      </c>
      <c r="C18" s="4" t="n">
        <f aca="false">C17+('OpEx Fixed'!D4)+('OpEx Variable'!H42)</f>
        <v>319550</v>
      </c>
      <c r="D18" s="4" t="n">
        <f aca="false">B18-C18</f>
        <v>-104698.2704</v>
      </c>
      <c r="E18" s="0" t="str">
        <f aca="false">IF(D18&gt;=0,"YES","NO")</f>
        <v>NO</v>
      </c>
    </row>
    <row r="19" customFormat="false" ht="15" hidden="false" customHeight="false" outlineLevel="0" collapsed="false">
      <c r="A19" s="0" t="n">
        <v>16</v>
      </c>
      <c r="B19" s="4" t="n">
        <f aca="false">B18+'Revenue Model'!H27</f>
        <v>300100.2696</v>
      </c>
      <c r="C19" s="4" t="n">
        <f aca="false">C18+('OpEx Fixed'!D4)+('OpEx Variable'!H43)</f>
        <v>336710</v>
      </c>
      <c r="D19" s="4" t="n">
        <f aca="false">B19-C19</f>
        <v>-36609.7304000001</v>
      </c>
      <c r="E19" s="0" t="str">
        <f aca="false">IF(D19&gt;=0,"YES","NO")</f>
        <v>NO</v>
      </c>
    </row>
    <row r="20" customFormat="false" ht="15" hidden="false" customHeight="false" outlineLevel="0" collapsed="false">
      <c r="A20" s="0" t="n">
        <v>17</v>
      </c>
      <c r="B20" s="4" t="n">
        <f aca="false">B19+'Revenue Model'!H28</f>
        <v>394950.5596</v>
      </c>
      <c r="C20" s="4" t="n">
        <f aca="false">C19+('OpEx Fixed'!D4)+('OpEx Variable'!H44)</f>
        <v>353870</v>
      </c>
      <c r="D20" s="4" t="n">
        <f aca="false">B20-C20</f>
        <v>41080.5595999999</v>
      </c>
      <c r="E20" s="0" t="str">
        <f aca="false">IF(D20&gt;=0,"YES","NO")</f>
        <v>YES</v>
      </c>
    </row>
    <row r="21" customFormat="false" ht="15" hidden="false" customHeight="false" outlineLevel="0" collapsed="false">
      <c r="A21" s="0" t="n">
        <v>18</v>
      </c>
      <c r="B21" s="4" t="n">
        <f aca="false">B20+'Revenue Model'!H29</f>
        <v>499402.5996</v>
      </c>
      <c r="C21" s="4" t="n">
        <f aca="false">C20+('OpEx Fixed'!D4)+('OpEx Variable'!H45)</f>
        <v>371030</v>
      </c>
      <c r="D21" s="4" t="n">
        <f aca="false">B21-C21</f>
        <v>128372.5996</v>
      </c>
      <c r="E21" s="0" t="str">
        <f aca="false">IF(D21&gt;=0,"YES","NO")</f>
        <v>YES</v>
      </c>
    </row>
    <row r="22" customFormat="false" ht="15" hidden="false" customHeight="false" outlineLevel="0" collapsed="false">
      <c r="A22" s="0" t="n">
        <v>19</v>
      </c>
      <c r="B22" s="4" t="n">
        <f aca="false">B21+'Revenue Model'!H30</f>
        <v>613456.3896</v>
      </c>
      <c r="C22" s="4" t="n">
        <f aca="false">C21+('OpEx Fixed'!D4)+('OpEx Variable'!H46)</f>
        <v>388190</v>
      </c>
      <c r="D22" s="4" t="n">
        <f aca="false">B22-C22</f>
        <v>225266.3896</v>
      </c>
      <c r="E22" s="0" t="str">
        <f aca="false">IF(D22&gt;=0,"YES","NO")</f>
        <v>YES</v>
      </c>
    </row>
    <row r="23" customFormat="false" ht="15" hidden="false" customHeight="false" outlineLevel="0" collapsed="false">
      <c r="A23" s="0" t="n">
        <v>20</v>
      </c>
      <c r="B23" s="4" t="n">
        <f aca="false">B22+'Revenue Model'!H31</f>
        <v>737111.9296</v>
      </c>
      <c r="C23" s="4" t="n">
        <f aca="false">C22+('OpEx Fixed'!D4)+('OpEx Variable'!H47)</f>
        <v>405350</v>
      </c>
      <c r="D23" s="4" t="n">
        <f aca="false">B23-C23</f>
        <v>331761.9296</v>
      </c>
      <c r="E23" s="0" t="str">
        <f aca="false">IF(D23&gt;=0,"YES","NO")</f>
        <v>YES</v>
      </c>
    </row>
    <row r="24" customFormat="false" ht="15" hidden="false" customHeight="false" outlineLevel="0" collapsed="false">
      <c r="A24" s="0" t="n">
        <v>21</v>
      </c>
      <c r="B24" s="4" t="n">
        <f aca="false">B23+'Revenue Model'!H32</f>
        <v>870369.2196</v>
      </c>
      <c r="C24" s="4" t="n">
        <f aca="false">C23+('OpEx Fixed'!D4)+('OpEx Variable'!H48)</f>
        <v>422510</v>
      </c>
      <c r="D24" s="4" t="n">
        <f aca="false">B24-C24</f>
        <v>447859.2196</v>
      </c>
      <c r="E24" s="0" t="str">
        <f aca="false">IF(D24&gt;=0,"YES","NO")</f>
        <v>YES</v>
      </c>
    </row>
    <row r="25" customFormat="false" ht="15" hidden="false" customHeight="false" outlineLevel="0" collapsed="false">
      <c r="A25" s="0" t="n">
        <v>22</v>
      </c>
      <c r="B25" s="4" t="n">
        <f aca="false">B24+'Revenue Model'!H33</f>
        <v>1013228.2596</v>
      </c>
      <c r="C25" s="4" t="n">
        <f aca="false">C24+('OpEx Fixed'!D4)+('OpEx Variable'!H49)</f>
        <v>439670</v>
      </c>
      <c r="D25" s="4" t="n">
        <f aca="false">B25-C25</f>
        <v>573558.2596</v>
      </c>
      <c r="E25" s="0" t="str">
        <f aca="false">IF(D25&gt;=0,"YES","NO")</f>
        <v>YES</v>
      </c>
    </row>
    <row r="26" customFormat="false" ht="15" hidden="false" customHeight="false" outlineLevel="0" collapsed="false">
      <c r="A26" s="0" t="n">
        <v>23</v>
      </c>
      <c r="B26" s="4" t="n">
        <f aca="false">B25+'Revenue Model'!H34</f>
        <v>1165689.0496</v>
      </c>
      <c r="C26" s="4" t="n">
        <f aca="false">C25+('OpEx Fixed'!D4)+('OpEx Variable'!H50)</f>
        <v>456830</v>
      </c>
      <c r="D26" s="4" t="n">
        <f aca="false">B26-C26</f>
        <v>708859.0496</v>
      </c>
      <c r="E26" s="0" t="str">
        <f aca="false">IF(D26&gt;=0,"YES","NO")</f>
        <v>YES</v>
      </c>
    </row>
    <row r="27" customFormat="false" ht="15" hidden="false" customHeight="false" outlineLevel="0" collapsed="false">
      <c r="A27" s="0" t="n">
        <v>24</v>
      </c>
      <c r="B27" s="4" t="n">
        <f aca="false">B26+'Revenue Model'!H35</f>
        <v>1327751.5896</v>
      </c>
      <c r="C27" s="4" t="n">
        <f aca="false">C26+('OpEx Fixed'!D4)+('OpEx Variable'!H51)</f>
        <v>473990</v>
      </c>
      <c r="D27" s="4" t="n">
        <f aca="false">B27-C27</f>
        <v>853761.5896</v>
      </c>
      <c r="E27" s="0" t="str">
        <f aca="false">IF(D27&gt;=0,"YES","NO")</f>
        <v>YES</v>
      </c>
    </row>
    <row r="28" customFormat="false" ht="15" hidden="false" customHeight="false" outlineLevel="0" collapsed="false">
      <c r="A28" s="0" t="n">
        <v>25</v>
      </c>
      <c r="B28" s="4" t="n">
        <f aca="false">B27+'Revenue Model'!H36</f>
        <v>1532061.8296</v>
      </c>
      <c r="C28" s="4" t="n">
        <f aca="false">C27+('OpEx Fixed'!D4)+('OpEx Variable'!H52)</f>
        <v>491150</v>
      </c>
      <c r="D28" s="4" t="n">
        <f aca="false">B28-C28</f>
        <v>1040911.8296</v>
      </c>
      <c r="E28" s="0" t="str">
        <f aca="false">IF(D28&gt;=0,"YES","NO")</f>
        <v>YES</v>
      </c>
    </row>
    <row r="29" customFormat="false" ht="15" hidden="false" customHeight="false" outlineLevel="0" collapsed="false">
      <c r="A29" s="0" t="n">
        <v>26</v>
      </c>
      <c r="B29" s="4" t="n">
        <f aca="false">B28+'Revenue Model'!H37</f>
        <v>1778619.7696</v>
      </c>
      <c r="C29" s="4" t="n">
        <f aca="false">C28+('OpEx Fixed'!D4)+('OpEx Variable'!H53)</f>
        <v>508310</v>
      </c>
      <c r="D29" s="4" t="n">
        <f aca="false">B29-C29</f>
        <v>1270309.7696</v>
      </c>
      <c r="E29" s="0" t="str">
        <f aca="false">IF(D29&gt;=0,"YES","NO")</f>
        <v>YES</v>
      </c>
    </row>
    <row r="30" customFormat="false" ht="15" hidden="false" customHeight="false" outlineLevel="0" collapsed="false">
      <c r="A30" s="0" t="n">
        <v>27</v>
      </c>
      <c r="B30" s="4" t="n">
        <f aca="false">B29+'Revenue Model'!H38</f>
        <v>2067425.4096</v>
      </c>
      <c r="C30" s="4" t="n">
        <f aca="false">C29+('OpEx Fixed'!D4)+('OpEx Variable'!H54)</f>
        <v>525470</v>
      </c>
      <c r="D30" s="4" t="n">
        <f aca="false">B30-C30</f>
        <v>1541955.4096</v>
      </c>
      <c r="E30" s="0" t="str">
        <f aca="false">IF(D30&gt;=0,"YES","NO")</f>
        <v>YES</v>
      </c>
    </row>
    <row r="31" customFormat="false" ht="15" hidden="false" customHeight="false" outlineLevel="0" collapsed="false">
      <c r="A31" s="0" t="n">
        <v>28</v>
      </c>
      <c r="B31" s="4" t="n">
        <f aca="false">B30+'Revenue Model'!H39</f>
        <v>2398478.7496</v>
      </c>
      <c r="C31" s="4" t="n">
        <f aca="false">C30+('OpEx Fixed'!D4)+('OpEx Variable'!H55)</f>
        <v>542630</v>
      </c>
      <c r="D31" s="4" t="n">
        <f aca="false">B31-C31</f>
        <v>1855848.7496</v>
      </c>
      <c r="E31" s="0" t="str">
        <f aca="false">IF(D31&gt;=0,"YES","NO")</f>
        <v>YES</v>
      </c>
    </row>
    <row r="32" customFormat="false" ht="15" hidden="false" customHeight="false" outlineLevel="0" collapsed="false">
      <c r="A32" s="0" t="n">
        <v>29</v>
      </c>
      <c r="B32" s="4" t="n">
        <f aca="false">B31+'Revenue Model'!H40</f>
        <v>2771779.7896</v>
      </c>
      <c r="C32" s="4" t="n">
        <f aca="false">C31+('OpEx Fixed'!D4)+('OpEx Variable'!H56)</f>
        <v>559790</v>
      </c>
      <c r="D32" s="4" t="n">
        <f aca="false">B32-C32</f>
        <v>2211989.7896</v>
      </c>
      <c r="E32" s="0" t="str">
        <f aca="false">IF(D32&gt;=0,"YES","NO")</f>
        <v>YES</v>
      </c>
    </row>
    <row r="33" customFormat="false" ht="15" hidden="false" customHeight="false" outlineLevel="0" collapsed="false">
      <c r="A33" s="0" t="n">
        <v>30</v>
      </c>
      <c r="B33" s="4" t="n">
        <f aca="false">B32+'Revenue Model'!H41</f>
        <v>3187328.5296</v>
      </c>
      <c r="C33" s="4" t="n">
        <f aca="false">C32+('OpEx Fixed'!D4)+('OpEx Variable'!H57)</f>
        <v>576950</v>
      </c>
      <c r="D33" s="4" t="n">
        <f aca="false">B33-C33</f>
        <v>2610378.5296</v>
      </c>
      <c r="E33" s="0" t="str">
        <f aca="false">IF(D33&gt;=0,"YES","NO")</f>
        <v>YES</v>
      </c>
    </row>
    <row r="34" customFormat="false" ht="15" hidden="false" customHeight="false" outlineLevel="0" collapsed="false">
      <c r="A34" s="0" t="n">
        <v>31</v>
      </c>
      <c r="B34" s="4" t="n">
        <f aca="false">B33+'Revenue Model'!H42</f>
        <v>3645124.9696</v>
      </c>
      <c r="C34" s="4" t="n">
        <f aca="false">C33+('OpEx Fixed'!D4)+('OpEx Variable'!H58)</f>
        <v>594110</v>
      </c>
      <c r="D34" s="4" t="n">
        <f aca="false">B34-C34</f>
        <v>3051014.9696</v>
      </c>
      <c r="E34" s="0" t="str">
        <f aca="false">IF(D34&gt;=0,"YES","NO")</f>
        <v>YES</v>
      </c>
    </row>
    <row r="35" customFormat="false" ht="15" hidden="false" customHeight="false" outlineLevel="0" collapsed="false">
      <c r="A35" s="0" t="n">
        <v>32</v>
      </c>
      <c r="B35" s="4" t="n">
        <f aca="false">B34+'Revenue Model'!H43</f>
        <v>4145169.1096</v>
      </c>
      <c r="C35" s="4" t="n">
        <f aca="false">C34+('OpEx Fixed'!D4)+('OpEx Variable'!H59)</f>
        <v>611270</v>
      </c>
      <c r="D35" s="4" t="n">
        <f aca="false">B35-C35</f>
        <v>3533899.1096</v>
      </c>
      <c r="E35" s="0" t="str">
        <f aca="false">IF(D35&gt;=0,"YES","NO")</f>
        <v>YES</v>
      </c>
    </row>
    <row r="36" customFormat="false" ht="15" hidden="false" customHeight="false" outlineLevel="0" collapsed="false">
      <c r="A36" s="0" t="n">
        <v>33</v>
      </c>
      <c r="B36" s="4" t="n">
        <f aca="false">B35+'Revenue Model'!H44</f>
        <v>4687460.9496</v>
      </c>
      <c r="C36" s="4" t="n">
        <f aca="false">C35+('OpEx Fixed'!D4)+('OpEx Variable'!H60)</f>
        <v>628430</v>
      </c>
      <c r="D36" s="4" t="n">
        <f aca="false">B36-C36</f>
        <v>4059030.9496</v>
      </c>
      <c r="E36" s="0" t="str">
        <f aca="false">IF(D36&gt;=0,"YES","NO")</f>
        <v>YES</v>
      </c>
    </row>
    <row r="37" customFormat="false" ht="15" hidden="false" customHeight="false" outlineLevel="0" collapsed="false">
      <c r="A37" s="0" t="n">
        <v>34</v>
      </c>
      <c r="B37" s="4" t="n">
        <f aca="false">B36+'Revenue Model'!H45</f>
        <v>5272000.4896</v>
      </c>
      <c r="C37" s="4" t="n">
        <f aca="false">C36+('OpEx Fixed'!D4)+('OpEx Variable'!H61)</f>
        <v>645590</v>
      </c>
      <c r="D37" s="4" t="n">
        <f aca="false">B37-C37</f>
        <v>4626410.4896</v>
      </c>
      <c r="E37" s="0" t="str">
        <f aca="false">IF(D37&gt;=0,"YES","NO")</f>
        <v>YES</v>
      </c>
    </row>
    <row r="38" customFormat="false" ht="15" hidden="false" customHeight="false" outlineLevel="0" collapsed="false">
      <c r="A38" s="0" t="n">
        <v>35</v>
      </c>
      <c r="B38" s="4" t="n">
        <f aca="false">B37+'Revenue Model'!H46</f>
        <v>5898787.7296</v>
      </c>
      <c r="C38" s="4" t="n">
        <f aca="false">C37+('OpEx Fixed'!D4)+('OpEx Variable'!H62)</f>
        <v>662750</v>
      </c>
      <c r="D38" s="4" t="n">
        <f aca="false">B38-C38</f>
        <v>5236037.7296</v>
      </c>
      <c r="E38" s="0" t="str">
        <f aca="false">IF(D38&gt;=0,"YES","NO")</f>
        <v>YES</v>
      </c>
    </row>
    <row r="39" customFormat="false" ht="15" hidden="false" customHeight="false" outlineLevel="0" collapsed="false">
      <c r="A39" s="0" t="n">
        <v>36</v>
      </c>
      <c r="B39" s="4" t="n">
        <f aca="false">B38+'Revenue Model'!H47</f>
        <v>6567822.6696</v>
      </c>
      <c r="C39" s="4" t="n">
        <f aca="false">C38+('OpEx Fixed'!D4)+('OpEx Variable'!H63)</f>
        <v>679910</v>
      </c>
      <c r="D39" s="4" t="n">
        <f aca="false">B39-C39</f>
        <v>5887912.6696</v>
      </c>
      <c r="E39" s="0" t="str">
        <f aca="false">IF(D39&gt;=0,"YES","NO")</f>
        <v>YES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22"/>
  </cols>
  <sheetData>
    <row r="1" customFormat="false" ht="24.75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26.85" hidden="false" customHeight="false" outlineLevel="0" collapsed="false">
      <c r="A3" s="3" t="s">
        <v>2</v>
      </c>
      <c r="B3" s="3" t="s">
        <v>119</v>
      </c>
      <c r="C3" s="3" t="s">
        <v>120</v>
      </c>
      <c r="D3" s="3" t="s">
        <v>121</v>
      </c>
    </row>
    <row r="4" customFormat="false" ht="15" hidden="false" customHeight="false" outlineLevel="0" collapsed="false">
      <c r="A4" s="0" t="s">
        <v>122</v>
      </c>
      <c r="B4" s="0" t="n">
        <v>800</v>
      </c>
      <c r="C4" s="0" t="n">
        <v>2000</v>
      </c>
      <c r="D4" s="0" t="n">
        <v>5000</v>
      </c>
    </row>
    <row r="5" customFormat="false" ht="15" hidden="false" customHeight="false" outlineLevel="0" collapsed="false">
      <c r="A5" s="0" t="s">
        <v>123</v>
      </c>
      <c r="B5" s="0" t="n">
        <v>304</v>
      </c>
      <c r="C5" s="0" t="n">
        <v>760</v>
      </c>
      <c r="D5" s="0" t="n">
        <v>1900</v>
      </c>
    </row>
    <row r="6" customFormat="false" ht="15" hidden="false" customHeight="false" outlineLevel="0" collapsed="false">
      <c r="A6" s="0" t="s">
        <v>124</v>
      </c>
      <c r="B6" s="4" t="n">
        <f aca="false">304*((299*0.33+599*0.05))</f>
        <v>39100.48</v>
      </c>
      <c r="C6" s="4" t="n">
        <f aca="false">'Revenue Model'!D53</f>
        <v>5240071.08</v>
      </c>
      <c r="D6" s="4" t="n">
        <f aca="false">1900*((299*0.33+599*0.05))</f>
        <v>244378</v>
      </c>
    </row>
    <row r="7" customFormat="false" ht="15" hidden="false" customHeight="false" outlineLevel="0" collapsed="false">
      <c r="A7" s="0" t="s">
        <v>125</v>
      </c>
      <c r="B7" s="4" t="n">
        <f aca="false">G6*12</f>
        <v>0</v>
      </c>
      <c r="C7" s="4" t="n">
        <f aca="false">H6*12</f>
        <v>0</v>
      </c>
      <c r="D7" s="4" t="n">
        <f aca="false">I6*12</f>
        <v>0</v>
      </c>
    </row>
    <row r="8" customFormat="false" ht="15" hidden="false" customHeight="false" outlineLevel="0" collapsed="false">
      <c r="A8" s="0" t="s">
        <v>126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0"/>
  </cols>
  <sheetData>
    <row r="1" customFormat="false" ht="24.7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3" t="s">
        <v>128</v>
      </c>
      <c r="B3" s="3" t="s">
        <v>129</v>
      </c>
      <c r="C3" s="3" t="s">
        <v>130</v>
      </c>
    </row>
    <row r="4" customFormat="false" ht="15" hidden="false" customHeight="false" outlineLevel="0" collapsed="false">
      <c r="A4" s="0" t="s">
        <v>131</v>
      </c>
      <c r="B4" s="0" t="s">
        <v>132</v>
      </c>
      <c r="C4" s="5" t="s">
        <v>133</v>
      </c>
    </row>
    <row r="5" customFormat="false" ht="15" hidden="false" customHeight="false" outlineLevel="0" collapsed="false">
      <c r="A5" s="0" t="s">
        <v>134</v>
      </c>
      <c r="B5" s="0" t="s">
        <v>135</v>
      </c>
      <c r="C5" s="5" t="s">
        <v>136</v>
      </c>
    </row>
    <row r="6" customFormat="false" ht="15" hidden="false" customHeight="false" outlineLevel="0" collapsed="false">
      <c r="A6" s="0" t="s">
        <v>134</v>
      </c>
      <c r="B6" s="0" t="s">
        <v>137</v>
      </c>
      <c r="C6" s="5" t="s">
        <v>138</v>
      </c>
    </row>
    <row r="7" customFormat="false" ht="15" hidden="false" customHeight="false" outlineLevel="0" collapsed="false">
      <c r="A7" s="0" t="s">
        <v>134</v>
      </c>
      <c r="B7" s="0" t="s">
        <v>139</v>
      </c>
      <c r="C7" s="5" t="s">
        <v>140</v>
      </c>
    </row>
    <row r="8" customFormat="false" ht="15" hidden="false" customHeight="false" outlineLevel="0" collapsed="false">
      <c r="A8" s="0" t="s">
        <v>141</v>
      </c>
      <c r="B8" s="0" t="s">
        <v>142</v>
      </c>
      <c r="C8" s="5" t="s">
        <v>143</v>
      </c>
    </row>
    <row r="9" customFormat="false" ht="15" hidden="false" customHeight="false" outlineLevel="0" collapsed="false">
      <c r="A9" s="0" t="s">
        <v>141</v>
      </c>
      <c r="B9" s="0" t="s">
        <v>144</v>
      </c>
      <c r="C9" s="5" t="s">
        <v>145</v>
      </c>
    </row>
    <row r="10" customFormat="false" ht="15" hidden="false" customHeight="false" outlineLevel="0" collapsed="false">
      <c r="A10" s="0" t="s">
        <v>141</v>
      </c>
      <c r="B10" s="0" t="s">
        <v>146</v>
      </c>
      <c r="C10" s="5" t="s">
        <v>147</v>
      </c>
    </row>
    <row r="11" customFormat="false" ht="15" hidden="false" customHeight="false" outlineLevel="0" collapsed="false">
      <c r="A11" s="0" t="s">
        <v>141</v>
      </c>
      <c r="B11" s="0" t="s">
        <v>4</v>
      </c>
      <c r="C11" s="5" t="s">
        <v>148</v>
      </c>
    </row>
    <row r="12" customFormat="false" ht="15" hidden="false" customHeight="false" outlineLevel="0" collapsed="false">
      <c r="A12" s="0" t="s">
        <v>141</v>
      </c>
      <c r="B12" s="0" t="s">
        <v>5</v>
      </c>
      <c r="C12" s="5" t="s">
        <v>149</v>
      </c>
    </row>
    <row r="13" customFormat="false" ht="15" hidden="false" customHeight="false" outlineLevel="0" collapsed="false">
      <c r="A13" s="0" t="s">
        <v>150</v>
      </c>
      <c r="B13" s="0" t="s">
        <v>151</v>
      </c>
      <c r="C13" s="5" t="s">
        <v>152</v>
      </c>
    </row>
    <row r="14" customFormat="false" ht="15" hidden="false" customHeight="false" outlineLevel="0" collapsed="false">
      <c r="A14" s="0" t="s">
        <v>150</v>
      </c>
      <c r="B14" s="0" t="s">
        <v>153</v>
      </c>
      <c r="C14" s="5" t="s">
        <v>154</v>
      </c>
    </row>
    <row r="15" customFormat="false" ht="15" hidden="false" customHeight="false" outlineLevel="0" collapsed="false">
      <c r="A15" s="0" t="s">
        <v>155</v>
      </c>
      <c r="B15" s="0" t="s">
        <v>156</v>
      </c>
      <c r="C15" s="5" t="s">
        <v>157</v>
      </c>
    </row>
    <row r="16" customFormat="false" ht="15" hidden="false" customHeight="false" outlineLevel="0" collapsed="false">
      <c r="A16" s="0" t="s">
        <v>155</v>
      </c>
      <c r="B16" s="0" t="s">
        <v>158</v>
      </c>
      <c r="C16" s="5" t="s">
        <v>159</v>
      </c>
    </row>
    <row r="17" customFormat="false" ht="15" hidden="false" customHeight="false" outlineLevel="0" collapsed="false">
      <c r="A17" s="0" t="s">
        <v>160</v>
      </c>
      <c r="B17" s="0" t="s">
        <v>156</v>
      </c>
      <c r="C17" s="5" t="s">
        <v>161</v>
      </c>
    </row>
    <row r="18" customFormat="false" ht="15" hidden="false" customHeight="false" outlineLevel="0" collapsed="false">
      <c r="A18" s="0" t="s">
        <v>160</v>
      </c>
      <c r="B18" s="0" t="s">
        <v>158</v>
      </c>
      <c r="C18" s="5" t="s">
        <v>159</v>
      </c>
    </row>
    <row r="19" customFormat="false" ht="15" hidden="false" customHeight="false" outlineLevel="0" collapsed="false">
      <c r="A19" s="0" t="s">
        <v>160</v>
      </c>
      <c r="B19" s="0" t="s">
        <v>162</v>
      </c>
      <c r="C19" s="5" t="s">
        <v>154</v>
      </c>
    </row>
    <row r="20" customFormat="false" ht="15" hidden="false" customHeight="false" outlineLevel="0" collapsed="false">
      <c r="A20" s="0" t="s">
        <v>163</v>
      </c>
      <c r="B20" s="0" t="s">
        <v>164</v>
      </c>
      <c r="C20" s="5" t="s">
        <v>165</v>
      </c>
    </row>
    <row r="21" customFormat="false" ht="15" hidden="false" customHeight="false" outlineLevel="0" collapsed="false">
      <c r="A21" s="0" t="s">
        <v>163</v>
      </c>
      <c r="B21" s="0" t="s">
        <v>166</v>
      </c>
      <c r="C21" s="5" t="s">
        <v>167</v>
      </c>
    </row>
    <row r="22" customFormat="false" ht="15" hidden="false" customHeight="false" outlineLevel="0" collapsed="false">
      <c r="A22" s="0" t="s">
        <v>163</v>
      </c>
      <c r="B22" s="0" t="s">
        <v>168</v>
      </c>
      <c r="C22" s="5" t="s">
        <v>169</v>
      </c>
    </row>
    <row r="23" customFormat="false" ht="15" hidden="false" customHeight="false" outlineLevel="0" collapsed="false">
      <c r="A23" s="0" t="s">
        <v>163</v>
      </c>
      <c r="B23" s="0" t="s">
        <v>170</v>
      </c>
      <c r="C23" s="5" t="s">
        <v>171</v>
      </c>
    </row>
    <row r="24" customFormat="false" ht="15" hidden="false" customHeight="false" outlineLevel="0" collapsed="false">
      <c r="A24" s="0" t="s">
        <v>163</v>
      </c>
      <c r="B24" s="0" t="s">
        <v>172</v>
      </c>
      <c r="C24" s="5" t="s">
        <v>173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2026-03-06T08:26:55Z</dcterms:created>
  <dc:creator>openpyxl</dc:creator>
  <dc:description/>
  <dc:language>en-US</dc:language>
  <cp:lastModifiedBy/>
  <dcterms:modified xsi:type="dcterms:W3CDTF">2026-03-06T08:26:55Z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